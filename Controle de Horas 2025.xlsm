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date1904="1" codeName="EstaPastaDeTrabalho"/>
  <mc:AlternateContent xmlns:mc="http://schemas.openxmlformats.org/markup-compatibility/2006">
    <mc:Choice Requires="x15">
      <x15ac:absPath xmlns:x15ac="http://schemas.microsoft.com/office/spreadsheetml/2010/11/ac" url="D:\Área de Trabalho\Versões das planilhas\"/>
    </mc:Choice>
  </mc:AlternateContent>
  <xr:revisionPtr revIDLastSave="0" documentId="13_ncr:1_{B078AFAF-DD8C-4A23-A2C5-9520634F1F7C}" xr6:coauthVersionLast="47" xr6:coauthVersionMax="47" xr10:uidLastSave="{00000000-0000-0000-0000-000000000000}"/>
  <workbookProtection lockStructure="1"/>
  <bookViews>
    <workbookView xWindow="-120" yWindow="-120" windowWidth="29040" windowHeight="15840" tabRatio="597" xr2:uid="{00000000-000D-0000-FFFF-FFFF00000000}"/>
  </bookViews>
  <sheets>
    <sheet name="DADOS" sheetId="53" r:id="rId1"/>
    <sheet name="EXEMPLO" sheetId="56" r:id="rId2"/>
    <sheet name="BASE" sheetId="111" state="veryHidden" r:id="rId3"/>
    <sheet name="Jan" sheetId="124" r:id="rId4"/>
    <sheet name="Fev" sheetId="125" r:id="rId5"/>
    <sheet name="Mar" sheetId="126" r:id="rId6"/>
    <sheet name="Abr" sheetId="127" r:id="rId7"/>
    <sheet name="Mai" sheetId="128" r:id="rId8"/>
    <sheet name="Jun" sheetId="129" r:id="rId9"/>
    <sheet name="Jul" sheetId="130" r:id="rId10"/>
    <sheet name="Ago" sheetId="131" r:id="rId11"/>
    <sheet name="Set" sheetId="132" r:id="rId12"/>
    <sheet name="Out" sheetId="133" r:id="rId13"/>
    <sheet name="Nov" sheetId="134" r:id="rId14"/>
    <sheet name="Dez" sheetId="135" r:id="rId15"/>
  </sheets>
  <functionGroups builtInGroupCount="19"/>
  <definedNames>
    <definedName name="_xleta.TRUNC" hidden="1" xlm="1">#NAME?</definedName>
    <definedName name="ANO">DADOS!$K$16</definedName>
    <definedName name="Calendario_expandido">DADOS!$C$13:$E$72</definedName>
    <definedName name="COMPENSADO">DADOS!$P$25</definedName>
    <definedName name="CRE_2">DADOS!$K$18</definedName>
    <definedName name="DIA_UTIL">"DIA ÚTIL"</definedName>
    <definedName name="DISPENSADO">DADOS!$P$22</definedName>
    <definedName name="EXPEDIENTE_CORRIDO">DADOS!$P$26</definedName>
    <definedName name="FERIADO">DADOS!$P$21</definedName>
    <definedName name="FERIAS">DADOS!$P$23</definedName>
    <definedName name="FIM_DE_SEMANA">"FIM DE SEMANA"</definedName>
    <definedName name="Lista_tipo" localSheetId="0">Legenda[TIPO]</definedName>
    <definedName name="MEIO_COMPENSADO">DADOS!$P$24</definedName>
    <definedName name="TIPO_DE_PONTO" localSheetId="1">"Comercial"</definedName>
    <definedName name="TIPO_DE_PONTO">DADOS!$K$14</definedName>
  </definedNames>
  <calcPr calcId="191029"/>
  <customWorkbookViews>
    <customWorkbookView name="Carlos Leonardo da Silva Xavier - Modo de exibição pessoal" guid="{9403C298-A554-4793-8CE1-CC7A584BA1B1}" mergeInterval="0" personalView="1" maximized="1" xWindow="-8" yWindow="-8" windowWidth="1456" windowHeight="87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0" i="56" l="1"/>
  <c r="J50" i="56"/>
  <c r="I50" i="56"/>
  <c r="H50" i="56"/>
  <c r="J49" i="56"/>
  <c r="K49" i="56" s="1"/>
  <c r="I49" i="56"/>
  <c r="H49" i="56"/>
  <c r="J48" i="56"/>
  <c r="K48" i="56" s="1"/>
  <c r="I48" i="56"/>
  <c r="H48" i="56"/>
  <c r="J47" i="56"/>
  <c r="K47" i="56" s="1"/>
  <c r="I47" i="56"/>
  <c r="H47" i="56"/>
  <c r="J46" i="56"/>
  <c r="K46" i="56" s="1"/>
  <c r="I46" i="56"/>
  <c r="H46" i="56"/>
  <c r="K45" i="56"/>
  <c r="J45" i="56"/>
  <c r="I45" i="56"/>
  <c r="H45" i="56"/>
  <c r="K44" i="56"/>
  <c r="J44" i="56"/>
  <c r="I44" i="56"/>
  <c r="H44" i="56"/>
  <c r="K43" i="56"/>
  <c r="J43" i="56"/>
  <c r="I43" i="56"/>
  <c r="H43" i="56"/>
  <c r="J42" i="56"/>
  <c r="K42" i="56" s="1"/>
  <c r="I42" i="56"/>
  <c r="H42" i="56"/>
  <c r="K41" i="56"/>
  <c r="J41" i="56"/>
  <c r="I41" i="56"/>
  <c r="H41" i="56"/>
  <c r="J40" i="56"/>
  <c r="K40" i="56" s="1"/>
  <c r="I40" i="56"/>
  <c r="H40" i="56"/>
  <c r="J39" i="56"/>
  <c r="K39" i="56" s="1"/>
  <c r="I39" i="56"/>
  <c r="H39" i="56"/>
  <c r="K38" i="56"/>
  <c r="J38" i="56"/>
  <c r="I38" i="56"/>
  <c r="H38" i="56"/>
  <c r="K37" i="56"/>
  <c r="J37" i="56"/>
  <c r="I37" i="56"/>
  <c r="H37" i="56"/>
  <c r="K36" i="56"/>
  <c r="J36" i="56"/>
  <c r="I36" i="56"/>
  <c r="K35" i="56"/>
  <c r="J35" i="56"/>
  <c r="I35" i="56"/>
  <c r="H35" i="56"/>
  <c r="K34" i="56"/>
  <c r="J34" i="56"/>
  <c r="I34" i="56"/>
  <c r="H34" i="56"/>
  <c r="K33" i="56"/>
  <c r="J33" i="56"/>
  <c r="I33" i="56"/>
  <c r="H33" i="56"/>
  <c r="K32" i="56"/>
  <c r="J32" i="56"/>
  <c r="I32" i="56"/>
  <c r="H32" i="56"/>
  <c r="K31" i="56"/>
  <c r="J31" i="56"/>
  <c r="I31" i="56"/>
  <c r="H31" i="56"/>
  <c r="K30" i="56"/>
  <c r="J30" i="56"/>
  <c r="I30" i="56"/>
  <c r="H30" i="56"/>
  <c r="J29" i="56"/>
  <c r="K29" i="56" s="1"/>
  <c r="I29" i="56"/>
  <c r="H29" i="56"/>
  <c r="J28" i="56"/>
  <c r="K28" i="56" s="1"/>
  <c r="I28" i="56"/>
  <c r="H28" i="56"/>
  <c r="K27" i="56"/>
  <c r="J27" i="56"/>
  <c r="I27" i="56"/>
  <c r="H27" i="56"/>
  <c r="K26" i="56"/>
  <c r="J26" i="56"/>
  <c r="I26" i="56"/>
  <c r="H26" i="56"/>
  <c r="K25" i="56"/>
  <c r="J25" i="56"/>
  <c r="I25" i="56"/>
  <c r="H25" i="56"/>
  <c r="K24" i="56"/>
  <c r="J24" i="56"/>
  <c r="I24" i="56"/>
  <c r="H24" i="56"/>
  <c r="K23" i="56"/>
  <c r="J23" i="56"/>
  <c r="I23" i="56"/>
  <c r="H23" i="56"/>
  <c r="K22" i="56"/>
  <c r="J22" i="56"/>
  <c r="I22" i="56"/>
  <c r="H22" i="56"/>
  <c r="J21" i="56"/>
  <c r="K21" i="56" s="1"/>
  <c r="I21" i="56"/>
  <c r="H21" i="56"/>
  <c r="K20" i="56"/>
  <c r="J20" i="56"/>
  <c r="I20" i="56"/>
  <c r="H20" i="56"/>
  <c r="V33" i="126" a="1"/>
  <c r="R33" i="111" a="1"/>
  <c r="U33" i="127" a="1"/>
  <c r="W33" i="126" a="1"/>
  <c r="W33" i="128" a="1"/>
  <c r="Q33" i="126" a="1"/>
  <c r="Q33" i="127" a="1"/>
  <c r="U33" i="131" a="1"/>
  <c r="S33" i="128" a="1"/>
  <c r="V33" i="130" a="1"/>
  <c r="R33" i="132" a="1"/>
  <c r="U33" i="129" a="1"/>
  <c r="V33" i="133" a="1"/>
  <c r="S33" i="129" a="1"/>
  <c r="R33" i="129" a="1"/>
  <c r="Q33" i="125" a="1"/>
  <c r="R33" i="127" a="1"/>
  <c r="Q33" i="133" a="1"/>
  <c r="V33" i="124" a="1"/>
  <c r="X33" i="130" a="1"/>
  <c r="S33" i="126" a="1"/>
  <c r="R33" i="124" a="1"/>
  <c r="V33" i="131" a="1"/>
  <c r="W33" i="133" a="1"/>
  <c r="Q33" i="134" a="1"/>
  <c r="R33" i="131" a="1"/>
  <c r="U33" i="124" a="1"/>
  <c r="V33" i="128" a="1"/>
  <c r="X33" i="134" a="1"/>
  <c r="V33" i="129" a="1"/>
  <c r="R33" i="128" a="1"/>
  <c r="X33" i="124" a="1"/>
  <c r="R33" i="134" a="1"/>
  <c r="R33" i="135" a="1"/>
  <c r="S33" i="133" a="1"/>
  <c r="U33" i="128" a="1"/>
  <c r="W33" i="129" a="1"/>
  <c r="Q33" i="128" a="1"/>
  <c r="V33" i="111" a="1"/>
  <c r="U33" i="111" a="1"/>
  <c r="V33" i="135" a="1"/>
  <c r="Q33" i="131" a="1"/>
  <c r="W33" i="132" a="1"/>
  <c r="W33" i="125" a="1"/>
  <c r="V33" i="127" a="1"/>
  <c r="V33" i="125" a="1"/>
  <c r="X33" i="135" a="1"/>
  <c r="S33" i="127" a="1"/>
  <c r="U33" i="125" a="1"/>
  <c r="Q33" i="129" a="1"/>
  <c r="S33" i="135" a="1"/>
  <c r="X33" i="132" a="1"/>
  <c r="S33" i="130" a="1"/>
  <c r="R33" i="125" a="1"/>
  <c r="U33" i="130" a="1"/>
  <c r="X33" i="127" a="1"/>
  <c r="Q33" i="124" a="1"/>
  <c r="X33" i="129" a="1"/>
  <c r="V33" i="134" a="1"/>
  <c r="R33" i="130" a="1"/>
  <c r="X33" i="126" a="1"/>
  <c r="S33" i="134" a="1"/>
  <c r="Q33" i="111" a="1"/>
  <c r="W33" i="124" a="1"/>
  <c r="U33" i="126" a="1"/>
  <c r="W33" i="127" a="1"/>
  <c r="U33" i="132" a="1"/>
  <c r="Q33" i="135" a="1"/>
  <c r="S33" i="124" a="1"/>
  <c r="U33" i="134" a="1"/>
  <c r="U33" i="135" a="1"/>
  <c r="R33" i="133" a="1"/>
  <c r="R33" i="126" a="1"/>
  <c r="W33" i="111" a="1"/>
  <c r="S33" i="111" a="1"/>
  <c r="S33" i="131" a="1"/>
  <c r="Q33" i="130" a="1"/>
  <c r="V33" i="132" a="1"/>
  <c r="Q33" i="132" a="1"/>
  <c r="W33" i="135" a="1"/>
  <c r="S33" i="132" a="1"/>
  <c r="W33" i="130" a="1"/>
  <c r="X33" i="125" a="1"/>
  <c r="X33" i="133" a="1"/>
  <c r="S33" i="125" a="1"/>
  <c r="W33" i="134" a="1"/>
  <c r="W33" i="131" a="1"/>
  <c r="X33" i="128" a="1"/>
  <c r="X33" i="131" a="1"/>
  <c r="U33" i="133" a="1"/>
  <c r="X33" i="111" a="1"/>
  <c r="Q33" i="125" l="1"/>
  <c r="S33" i="126"/>
  <c r="U33" i="124"/>
  <c r="Q33" i="124"/>
  <c r="X33" i="126"/>
  <c r="U33" i="125"/>
  <c r="W33" i="124"/>
  <c r="S33" i="124"/>
  <c r="X33" i="124"/>
  <c r="R33" i="124"/>
  <c r="V33" i="124"/>
  <c r="R33" i="125"/>
  <c r="V33" i="125"/>
  <c r="S33" i="125"/>
  <c r="W33" i="125"/>
  <c r="X33" i="127"/>
  <c r="V33" i="126"/>
  <c r="X33" i="125"/>
  <c r="R33" i="126"/>
  <c r="W33" i="129"/>
  <c r="W33" i="126"/>
  <c r="Q33" i="126"/>
  <c r="U33" i="126"/>
  <c r="Q33" i="127"/>
  <c r="U33" i="127"/>
  <c r="Q33" i="128"/>
  <c r="X33" i="128"/>
  <c r="R33" i="127"/>
  <c r="V33" i="127"/>
  <c r="S33" i="127"/>
  <c r="W33" i="127"/>
  <c r="S33" i="129"/>
  <c r="X33" i="129"/>
  <c r="Q33" i="130"/>
  <c r="U33" i="128"/>
  <c r="U33" i="130"/>
  <c r="R33" i="128"/>
  <c r="V33" i="128"/>
  <c r="U33" i="129"/>
  <c r="Q33" i="129"/>
  <c r="S33" i="128"/>
  <c r="W33" i="128"/>
  <c r="R33" i="129"/>
  <c r="V33" i="129"/>
  <c r="R33" i="130"/>
  <c r="V33" i="130"/>
  <c r="V33" i="131"/>
  <c r="W33" i="131"/>
  <c r="S33" i="130"/>
  <c r="W33" i="130"/>
  <c r="R33" i="131"/>
  <c r="X33" i="131"/>
  <c r="X33" i="130"/>
  <c r="S33" i="131"/>
  <c r="Q33" i="133"/>
  <c r="Q33" i="131"/>
  <c r="U33" i="131"/>
  <c r="U33" i="132"/>
  <c r="W33" i="132"/>
  <c r="S33" i="132"/>
  <c r="S33" i="133"/>
  <c r="U33" i="133"/>
  <c r="Q33" i="132"/>
  <c r="R33" i="132"/>
  <c r="V33" i="132"/>
  <c r="W33" i="133"/>
  <c r="X33" i="132"/>
  <c r="X33" i="134"/>
  <c r="X33" i="133"/>
  <c r="R33" i="134"/>
  <c r="R33" i="133"/>
  <c r="V33" i="133"/>
  <c r="V33" i="134"/>
  <c r="S33" i="134"/>
  <c r="W33" i="134"/>
  <c r="Q33" i="134"/>
  <c r="U33" i="134"/>
  <c r="X33" i="135"/>
  <c r="Q33" i="135"/>
  <c r="U33" i="135"/>
  <c r="R33" i="135"/>
  <c r="V33" i="135"/>
  <c r="S33" i="135"/>
  <c r="W33" i="135"/>
  <c r="X33" i="111"/>
  <c r="U33" i="111"/>
  <c r="S33" i="111"/>
  <c r="Q33" i="111"/>
  <c r="W33" i="111"/>
  <c r="V33" i="111"/>
  <c r="R33" i="111"/>
  <c r="Q36" i="124" a="1"/>
  <c r="Q36" i="128" a="1"/>
  <c r="Q36" i="134" a="1"/>
  <c r="Q36" i="128" l="1"/>
  <c r="Q36" i="124"/>
  <c r="Q36" i="134"/>
  <c r="B8" i="53"/>
  <c r="K16" i="53"/>
  <c r="Q36" i="126" a="1"/>
  <c r="Q36" i="125" a="1"/>
  <c r="Q36" i="135" a="1"/>
  <c r="Q36" i="111" a="1"/>
  <c r="Q36" i="131" a="1"/>
  <c r="Q36" i="132" a="1"/>
  <c r="Q36" i="127" a="1"/>
  <c r="Q36" i="129" a="1"/>
  <c r="Q36" i="130" a="1"/>
  <c r="Q36" i="133" a="1"/>
  <c r="Q36" i="127" l="1"/>
  <c r="Q36" i="126"/>
  <c r="Q36" i="129"/>
  <c r="Q36" i="125"/>
  <c r="Q36" i="131"/>
  <c r="Q36" i="133"/>
  <c r="Q36" i="135"/>
  <c r="Q36" i="132"/>
  <c r="Q36" i="130"/>
  <c r="C2" i="135"/>
  <c r="C2" i="134"/>
  <c r="C2" i="133"/>
  <c r="C2" i="132"/>
  <c r="C2" i="130"/>
  <c r="C2" i="129"/>
  <c r="C2" i="131"/>
  <c r="C2" i="127"/>
  <c r="C2" i="128"/>
  <c r="C2" i="124"/>
  <c r="C2" i="126"/>
  <c r="C2" i="125"/>
  <c r="Q36" i="111"/>
  <c r="L23" i="56"/>
  <c r="L30" i="56"/>
  <c r="L38" i="56"/>
  <c r="L31" i="56"/>
  <c r="L22" i="56"/>
  <c r="L44" i="56"/>
  <c r="L27" i="56"/>
  <c r="L45" i="56"/>
  <c r="L24" i="56"/>
  <c r="L37" i="56"/>
  <c r="X51" i="56"/>
  <c r="W51" i="56"/>
  <c r="V51" i="56"/>
  <c r="U51" i="56"/>
  <c r="S51" i="56"/>
  <c r="R51" i="56"/>
  <c r="Q51" i="56"/>
  <c r="C21" i="56"/>
  <c r="A21" i="56" s="1"/>
  <c r="A20" i="56"/>
  <c r="K18" i="53"/>
  <c r="U37" i="124" s="1"/>
  <c r="W37" i="124" s="1"/>
  <c r="H3" i="53"/>
  <c r="H24" i="53" s="1"/>
  <c r="U37" i="111"/>
  <c r="U37" i="125"/>
  <c r="W37" i="125" l="1"/>
  <c r="A2" i="128"/>
  <c r="C3" i="128"/>
  <c r="Y2" i="128"/>
  <c r="B2" i="128"/>
  <c r="Y2" i="130"/>
  <c r="B2" i="130"/>
  <c r="A2" i="130"/>
  <c r="C3" i="130"/>
  <c r="C3" i="135"/>
  <c r="Y2" i="135"/>
  <c r="B2" i="135"/>
  <c r="A2" i="135"/>
  <c r="C3" i="127"/>
  <c r="Y2" i="127"/>
  <c r="B2" i="127"/>
  <c r="A2" i="127"/>
  <c r="B2" i="131"/>
  <c r="A2" i="131"/>
  <c r="Y2" i="131"/>
  <c r="C3" i="131"/>
  <c r="C3" i="132"/>
  <c r="B2" i="132"/>
  <c r="A2" i="132"/>
  <c r="Y2" i="132"/>
  <c r="C3" i="129"/>
  <c r="B2" i="129"/>
  <c r="A2" i="129"/>
  <c r="Y2" i="129"/>
  <c r="A2" i="133"/>
  <c r="Y2" i="133"/>
  <c r="B2" i="133"/>
  <c r="C3" i="133"/>
  <c r="A2" i="126"/>
  <c r="Y2" i="126"/>
  <c r="C3" i="126"/>
  <c r="B2" i="126"/>
  <c r="A2" i="134"/>
  <c r="Y2" i="134"/>
  <c r="B2" i="134"/>
  <c r="C3" i="134"/>
  <c r="B2" i="125"/>
  <c r="A2" i="125"/>
  <c r="C3" i="125"/>
  <c r="Y2" i="125"/>
  <c r="C3" i="124"/>
  <c r="A2" i="124"/>
  <c r="Y2" i="124"/>
  <c r="B2" i="124"/>
  <c r="O27" i="56"/>
  <c r="N27" i="56"/>
  <c r="M27" i="56"/>
  <c r="T22" i="56"/>
  <c r="O22" i="56"/>
  <c r="N22" i="56"/>
  <c r="M22" i="56"/>
  <c r="T31" i="56"/>
  <c r="O31" i="56"/>
  <c r="N31" i="56"/>
  <c r="M31" i="56"/>
  <c r="O38" i="56"/>
  <c r="N38" i="56"/>
  <c r="T38" i="56"/>
  <c r="M38" i="56"/>
  <c r="T24" i="56"/>
  <c r="O24" i="56"/>
  <c r="N24" i="56"/>
  <c r="M24" i="56"/>
  <c r="O37" i="56"/>
  <c r="N37" i="56"/>
  <c r="T37" i="56"/>
  <c r="M37" i="56"/>
  <c r="T30" i="56"/>
  <c r="O30" i="56"/>
  <c r="N30" i="56"/>
  <c r="M30" i="56"/>
  <c r="O45" i="56"/>
  <c r="N45" i="56"/>
  <c r="T45" i="56"/>
  <c r="M45" i="56"/>
  <c r="T23" i="56"/>
  <c r="O23" i="56"/>
  <c r="N23" i="56"/>
  <c r="M23" i="56"/>
  <c r="O44" i="56"/>
  <c r="N44" i="56"/>
  <c r="M44" i="56"/>
  <c r="T44" i="56"/>
  <c r="P22" i="56"/>
  <c r="P31" i="56"/>
  <c r="P37" i="56"/>
  <c r="P30" i="56"/>
  <c r="P45" i="56"/>
  <c r="P23" i="56"/>
  <c r="P38" i="56"/>
  <c r="P24" i="56"/>
  <c r="P27" i="56"/>
  <c r="Q54" i="56"/>
  <c r="C22" i="56"/>
  <c r="A22" i="56" s="1"/>
  <c r="U55" i="56"/>
  <c r="W55" i="56" s="1"/>
  <c r="C2" i="111"/>
  <c r="B2" i="111" s="1"/>
  <c r="W37" i="111"/>
  <c r="J2" i="130" a="1"/>
  <c r="I2" i="127" a="1"/>
  <c r="I2" i="129" a="1"/>
  <c r="J2" i="133" a="1"/>
  <c r="J2" i="131" a="1"/>
  <c r="I2" i="131" a="1"/>
  <c r="I2" i="135" a="1"/>
  <c r="I2" i="125" a="1"/>
  <c r="J2" i="129" a="1"/>
  <c r="I2" i="126" a="1"/>
  <c r="J2" i="134" a="1"/>
  <c r="I2" i="133" a="1"/>
  <c r="J2" i="128" a="1"/>
  <c r="I2" i="132" a="1"/>
  <c r="I2" i="124" a="1"/>
  <c r="I2" i="130" a="1"/>
  <c r="J2" i="126" a="1"/>
  <c r="J2" i="135" a="1"/>
  <c r="J2" i="132" a="1"/>
  <c r="I2" i="128" a="1"/>
  <c r="J2" i="127" a="1"/>
  <c r="J2" i="125" a="1"/>
  <c r="J2" i="124" a="1"/>
  <c r="I2" i="134" a="1"/>
  <c r="U37" i="126"/>
  <c r="W37" i="126" l="1"/>
  <c r="I2" i="134"/>
  <c r="J2" i="134"/>
  <c r="J2" i="133"/>
  <c r="I2" i="133"/>
  <c r="J2" i="127"/>
  <c r="I2" i="127"/>
  <c r="I2" i="132"/>
  <c r="J2" i="132"/>
  <c r="J2" i="130"/>
  <c r="I2" i="130"/>
  <c r="J2" i="126"/>
  <c r="I2" i="126"/>
  <c r="J2" i="128"/>
  <c r="I2" i="128"/>
  <c r="J2" i="135"/>
  <c r="I2" i="135"/>
  <c r="J2" i="129"/>
  <c r="I2" i="129"/>
  <c r="J2" i="125"/>
  <c r="I2" i="125"/>
  <c r="J2" i="131"/>
  <c r="I2" i="131"/>
  <c r="J2" i="124"/>
  <c r="I2" i="124"/>
  <c r="A3" i="133"/>
  <c r="B3" i="133"/>
  <c r="C4" i="133"/>
  <c r="Y3" i="133"/>
  <c r="C4" i="124"/>
  <c r="A3" i="124"/>
  <c r="Y3" i="124"/>
  <c r="B3" i="124"/>
  <c r="Y3" i="132"/>
  <c r="C4" i="132"/>
  <c r="B3" i="132"/>
  <c r="A3" i="132"/>
  <c r="C4" i="127"/>
  <c r="B3" i="127"/>
  <c r="A3" i="127"/>
  <c r="Y3" i="127"/>
  <c r="B3" i="131"/>
  <c r="A3" i="131"/>
  <c r="Y3" i="131"/>
  <c r="C4" i="131"/>
  <c r="Y3" i="125"/>
  <c r="B3" i="125"/>
  <c r="A3" i="125"/>
  <c r="C4" i="125"/>
  <c r="A3" i="126"/>
  <c r="Y3" i="126"/>
  <c r="C4" i="126"/>
  <c r="B3" i="126"/>
  <c r="B3" i="128"/>
  <c r="A3" i="128"/>
  <c r="C4" i="128"/>
  <c r="Y3" i="128"/>
  <c r="C4" i="129"/>
  <c r="B3" i="129"/>
  <c r="Y3" i="129"/>
  <c r="A3" i="129"/>
  <c r="C4" i="135"/>
  <c r="Y3" i="135"/>
  <c r="B3" i="135"/>
  <c r="A3" i="135"/>
  <c r="B3" i="130"/>
  <c r="A3" i="130"/>
  <c r="C4" i="130"/>
  <c r="Y3" i="130"/>
  <c r="A3" i="134"/>
  <c r="C4" i="134"/>
  <c r="B3" i="134"/>
  <c r="Y3" i="134"/>
  <c r="T2" i="111" a="1"/>
  <c r="T2" i="111" s="1"/>
  <c r="C23" i="56"/>
  <c r="A23" i="56" s="1"/>
  <c r="T27" i="56"/>
  <c r="L21" i="56"/>
  <c r="P44" i="56"/>
  <c r="Y2" i="111"/>
  <c r="C3" i="111"/>
  <c r="B3" i="111" s="1"/>
  <c r="A2" i="111"/>
  <c r="J3" i="127" a="1"/>
  <c r="J3" i="131" a="1"/>
  <c r="H2" i="130" a="1"/>
  <c r="K2" i="126" a="1"/>
  <c r="H2" i="134" a="1"/>
  <c r="K2" i="124" a="1"/>
  <c r="J2" i="111" a="1"/>
  <c r="H2" i="128" a="1"/>
  <c r="H2" i="133" a="1"/>
  <c r="I2" i="111" a="1"/>
  <c r="I3" i="131" a="1"/>
  <c r="H2" i="132" a="1"/>
  <c r="I3" i="130" a="1"/>
  <c r="I3" i="132" a="1"/>
  <c r="H2" i="127" a="1"/>
  <c r="I3" i="128" a="1"/>
  <c r="K2" i="125" a="1"/>
  <c r="J3" i="129" a="1"/>
  <c r="H2" i="135" a="1"/>
  <c r="K2" i="128" a="1"/>
  <c r="J3" i="125" a="1"/>
  <c r="K2" i="127" a="1"/>
  <c r="I3" i="124" a="1"/>
  <c r="J3" i="132" a="1"/>
  <c r="I3" i="134" a="1"/>
  <c r="K2" i="132" a="1"/>
  <c r="K2" i="134" a="1"/>
  <c r="H2" i="129" a="1"/>
  <c r="K2" i="135" a="1"/>
  <c r="K2" i="133" a="1"/>
  <c r="J3" i="134" a="1"/>
  <c r="I3" i="135" a="1"/>
  <c r="J3" i="128" a="1"/>
  <c r="H2" i="124" a="1"/>
  <c r="H2" i="111" a="1"/>
  <c r="I3" i="125" a="1"/>
  <c r="J3" i="126" a="1"/>
  <c r="J3" i="124" a="1"/>
  <c r="H2" i="125" a="1"/>
  <c r="K2" i="129" a="1"/>
  <c r="I3" i="129" a="1"/>
  <c r="I3" i="126" a="1"/>
  <c r="K2" i="130" a="1"/>
  <c r="H2" i="126" a="1"/>
  <c r="J3" i="135" a="1"/>
  <c r="J3" i="133" a="1"/>
  <c r="H2" i="131" a="1"/>
  <c r="I3" i="127" a="1"/>
  <c r="I3" i="133" a="1"/>
  <c r="J3" i="130" a="1"/>
  <c r="K2" i="131" a="1"/>
  <c r="U37" i="127"/>
  <c r="W37" i="127" l="1"/>
  <c r="J3" i="135"/>
  <c r="I3" i="135"/>
  <c r="J3" i="131"/>
  <c r="I3" i="131"/>
  <c r="J3" i="132"/>
  <c r="I3" i="132"/>
  <c r="H2" i="124"/>
  <c r="H2" i="135"/>
  <c r="K2" i="132"/>
  <c r="K2" i="124"/>
  <c r="K2" i="135"/>
  <c r="H2" i="132"/>
  <c r="J3" i="128"/>
  <c r="I3" i="128"/>
  <c r="H2" i="131"/>
  <c r="H2" i="128"/>
  <c r="H2" i="127"/>
  <c r="I3" i="125"/>
  <c r="J3" i="125"/>
  <c r="J3" i="124"/>
  <c r="I3" i="124"/>
  <c r="K2" i="131"/>
  <c r="K2" i="128"/>
  <c r="K2" i="127"/>
  <c r="J3" i="129"/>
  <c r="I3" i="129"/>
  <c r="H2" i="126"/>
  <c r="J3" i="130"/>
  <c r="I3" i="130"/>
  <c r="H2" i="125"/>
  <c r="H2" i="133"/>
  <c r="I3" i="134"/>
  <c r="J3" i="134"/>
  <c r="J3" i="126"/>
  <c r="I3" i="126"/>
  <c r="J3" i="127"/>
  <c r="I3" i="127"/>
  <c r="K2" i="125"/>
  <c r="K2" i="126"/>
  <c r="K2" i="133"/>
  <c r="J3" i="133"/>
  <c r="I3" i="133"/>
  <c r="H2" i="129"/>
  <c r="H2" i="130"/>
  <c r="K2" i="134"/>
  <c r="K2" i="129"/>
  <c r="K2" i="130"/>
  <c r="H2" i="134"/>
  <c r="Y4" i="132"/>
  <c r="C5" i="132"/>
  <c r="B4" i="132"/>
  <c r="A4" i="132"/>
  <c r="Y4" i="130"/>
  <c r="B4" i="130"/>
  <c r="A4" i="130"/>
  <c r="C5" i="130"/>
  <c r="C5" i="125"/>
  <c r="Y4" i="125"/>
  <c r="A4" i="125"/>
  <c r="B4" i="125"/>
  <c r="A4" i="126"/>
  <c r="Y4" i="126"/>
  <c r="C5" i="126"/>
  <c r="B4" i="126"/>
  <c r="C5" i="135"/>
  <c r="Y4" i="135"/>
  <c r="B4" i="135"/>
  <c r="A4" i="135"/>
  <c r="A4" i="134"/>
  <c r="Y4" i="134"/>
  <c r="C5" i="134"/>
  <c r="B4" i="134"/>
  <c r="Y4" i="128"/>
  <c r="B4" i="128"/>
  <c r="C5" i="128"/>
  <c r="A4" i="128"/>
  <c r="C5" i="129"/>
  <c r="B4" i="129"/>
  <c r="A4" i="129"/>
  <c r="Y4" i="129"/>
  <c r="B4" i="131"/>
  <c r="A4" i="131"/>
  <c r="Y4" i="131"/>
  <c r="C5" i="131"/>
  <c r="A4" i="133"/>
  <c r="C5" i="133"/>
  <c r="B4" i="133"/>
  <c r="Y4" i="133"/>
  <c r="C5" i="127"/>
  <c r="Y4" i="127"/>
  <c r="B4" i="127"/>
  <c r="A4" i="127"/>
  <c r="C5" i="124"/>
  <c r="A4" i="124"/>
  <c r="Y4" i="124"/>
  <c r="B4" i="124"/>
  <c r="T3" i="111" a="1"/>
  <c r="T3" i="111" s="1"/>
  <c r="J2" i="111"/>
  <c r="I2" i="111"/>
  <c r="H2" i="111"/>
  <c r="C24" i="56"/>
  <c r="C25" i="56" s="1"/>
  <c r="O21" i="56"/>
  <c r="N21" i="56"/>
  <c r="M21" i="56"/>
  <c r="P21" i="56"/>
  <c r="Y3" i="111"/>
  <c r="A3" i="111"/>
  <c r="C4" i="111"/>
  <c r="B4" i="111" s="1"/>
  <c r="J4" i="127" a="1"/>
  <c r="J4" i="132" a="1"/>
  <c r="J4" i="129" a="1"/>
  <c r="J4" i="124" a="1"/>
  <c r="K2" i="111" a="1"/>
  <c r="K3" i="126" a="1"/>
  <c r="L2" i="134" a="1"/>
  <c r="I4" i="129" a="1"/>
  <c r="I4" i="135" a="1"/>
  <c r="J4" i="133" a="1"/>
  <c r="I4" i="131" a="1"/>
  <c r="H3" i="124" a="1"/>
  <c r="H3" i="135" a="1"/>
  <c r="I4" i="132" a="1"/>
  <c r="H3" i="128" a="1"/>
  <c r="K3" i="132" a="1"/>
  <c r="I4" i="130" a="1"/>
  <c r="I4" i="127" a="1"/>
  <c r="K3" i="131" a="1"/>
  <c r="L2" i="128" a="1"/>
  <c r="L2" i="126" a="1"/>
  <c r="J4" i="125" a="1"/>
  <c r="I4" i="126" a="1"/>
  <c r="H3" i="132" a="1"/>
  <c r="K3" i="124" a="1"/>
  <c r="H3" i="131" a="1"/>
  <c r="J4" i="135" a="1"/>
  <c r="H3" i="129" a="1"/>
  <c r="I4" i="133" a="1"/>
  <c r="K3" i="128" a="1"/>
  <c r="J4" i="134" a="1"/>
  <c r="K3" i="135" a="1"/>
  <c r="I4" i="125" a="1"/>
  <c r="K3" i="130" a="1"/>
  <c r="L2" i="127" a="1"/>
  <c r="J4" i="131" a="1"/>
  <c r="H3" i="130" a="1"/>
  <c r="H3" i="133" a="1"/>
  <c r="L2" i="124" a="1"/>
  <c r="K3" i="133" a="1"/>
  <c r="J4" i="126" a="1"/>
  <c r="J4" i="128" a="1"/>
  <c r="I4" i="124" a="1"/>
  <c r="K3" i="127" a="1"/>
  <c r="H3" i="125" a="1"/>
  <c r="H3" i="127" a="1"/>
  <c r="H3" i="134" a="1"/>
  <c r="K3" i="129" a="1"/>
  <c r="J4" i="130" a="1"/>
  <c r="J3" i="111" a="1"/>
  <c r="K3" i="125" a="1"/>
  <c r="H3" i="126" a="1"/>
  <c r="I4" i="134" a="1"/>
  <c r="I3" i="111" a="1"/>
  <c r="K3" i="134" a="1"/>
  <c r="I4" i="128" a="1"/>
  <c r="L2" i="135" a="1"/>
  <c r="L2" i="132" a="1"/>
  <c r="L2" i="129" a="1"/>
  <c r="L2" i="130" a="1"/>
  <c r="L2" i="133" a="1"/>
  <c r="U37" i="128"/>
  <c r="W37" i="128" l="1"/>
  <c r="L2" i="126"/>
  <c r="L2" i="124"/>
  <c r="L2" i="130"/>
  <c r="L2" i="129"/>
  <c r="I4" i="133"/>
  <c r="J4" i="133"/>
  <c r="L2" i="128"/>
  <c r="K3" i="130"/>
  <c r="H3" i="126"/>
  <c r="K3" i="125"/>
  <c r="H3" i="133"/>
  <c r="H3" i="125"/>
  <c r="K3" i="133"/>
  <c r="K3" i="129"/>
  <c r="L2" i="133"/>
  <c r="H3" i="134"/>
  <c r="L2" i="134"/>
  <c r="J4" i="129"/>
  <c r="I4" i="129"/>
  <c r="J4" i="128"/>
  <c r="I4" i="128"/>
  <c r="K3" i="126"/>
  <c r="H3" i="129"/>
  <c r="H3" i="135"/>
  <c r="J4" i="126"/>
  <c r="I4" i="126"/>
  <c r="K3" i="134"/>
  <c r="K3" i="135"/>
  <c r="J4" i="124"/>
  <c r="I4" i="124"/>
  <c r="J4" i="131"/>
  <c r="I4" i="131"/>
  <c r="J4" i="125"/>
  <c r="I4" i="125"/>
  <c r="L2" i="132"/>
  <c r="L2" i="135"/>
  <c r="H3" i="128"/>
  <c r="H3" i="132"/>
  <c r="J4" i="134"/>
  <c r="I4" i="134"/>
  <c r="L2" i="127"/>
  <c r="H3" i="127"/>
  <c r="H3" i="130"/>
  <c r="H3" i="124"/>
  <c r="K3" i="128"/>
  <c r="K3" i="132"/>
  <c r="H3" i="131"/>
  <c r="J4" i="135"/>
  <c r="I4" i="135"/>
  <c r="K3" i="127"/>
  <c r="K3" i="124"/>
  <c r="J4" i="132"/>
  <c r="I4" i="132"/>
  <c r="K3" i="131"/>
  <c r="I4" i="127"/>
  <c r="J4" i="127"/>
  <c r="I4" i="130"/>
  <c r="J4" i="130"/>
  <c r="A5" i="133"/>
  <c r="Y5" i="133"/>
  <c r="B5" i="133"/>
  <c r="C6" i="133"/>
  <c r="B5" i="128"/>
  <c r="A5" i="128"/>
  <c r="C6" i="128"/>
  <c r="Y5" i="128"/>
  <c r="C6" i="129"/>
  <c r="B5" i="129"/>
  <c r="Y5" i="129"/>
  <c r="A5" i="129"/>
  <c r="Y5" i="132"/>
  <c r="C6" i="132"/>
  <c r="B5" i="132"/>
  <c r="A5" i="132"/>
  <c r="C6" i="127"/>
  <c r="Y5" i="127"/>
  <c r="B5" i="127"/>
  <c r="A5" i="127"/>
  <c r="A5" i="126"/>
  <c r="Y5" i="126"/>
  <c r="B5" i="126"/>
  <c r="C6" i="126"/>
  <c r="C6" i="130"/>
  <c r="Y5" i="130"/>
  <c r="B5" i="130"/>
  <c r="A5" i="130"/>
  <c r="B5" i="131"/>
  <c r="A5" i="131"/>
  <c r="Y5" i="131"/>
  <c r="C6" i="131"/>
  <c r="B5" i="125"/>
  <c r="A5" i="125"/>
  <c r="C6" i="125"/>
  <c r="Y5" i="125"/>
  <c r="A5" i="124"/>
  <c r="C6" i="124"/>
  <c r="Y5" i="124"/>
  <c r="B5" i="124"/>
  <c r="A5" i="134"/>
  <c r="B5" i="134"/>
  <c r="C6" i="134"/>
  <c r="Y5" i="134"/>
  <c r="C6" i="135"/>
  <c r="B5" i="135"/>
  <c r="A5" i="135"/>
  <c r="Y5" i="135"/>
  <c r="K2" i="111"/>
  <c r="J3" i="111"/>
  <c r="I3" i="111"/>
  <c r="T4" i="111" a="1"/>
  <c r="T4" i="111" s="1"/>
  <c r="A24" i="56"/>
  <c r="T21" i="56"/>
  <c r="C26" i="56"/>
  <c r="A25" i="56"/>
  <c r="A4" i="111"/>
  <c r="Y4" i="111"/>
  <c r="C5" i="111"/>
  <c r="B5" i="111" s="1"/>
  <c r="J5" i="131" a="1"/>
  <c r="J5" i="127" a="1"/>
  <c r="K4" i="129" a="1"/>
  <c r="J5" i="135" a="1"/>
  <c r="I4" i="111" a="1"/>
  <c r="I5" i="130" a="1"/>
  <c r="J5" i="129" a="1"/>
  <c r="L3" i="134" a="1"/>
  <c r="L3" i="127" a="1"/>
  <c r="K4" i="126" a="1"/>
  <c r="H4" i="130" a="1"/>
  <c r="J5" i="132" a="1"/>
  <c r="I5" i="131" a="1"/>
  <c r="K4" i="130" a="1"/>
  <c r="I5" i="133" a="1"/>
  <c r="K4" i="128" a="1"/>
  <c r="H4" i="131" a="1"/>
  <c r="H4" i="134" a="1"/>
  <c r="L2" i="131" a="1"/>
  <c r="K4" i="131" a="1"/>
  <c r="H4" i="128" a="1"/>
  <c r="K4" i="133" a="1"/>
  <c r="H4" i="133" a="1"/>
  <c r="J5" i="125" a="1"/>
  <c r="H3" i="111" a="1"/>
  <c r="T2" i="126" a="1"/>
  <c r="J5" i="126" a="1"/>
  <c r="I5" i="127" a="1"/>
  <c r="K4" i="135" a="1"/>
  <c r="H4" i="135" a="1"/>
  <c r="H4" i="129" a="1"/>
  <c r="T2" i="134" a="1"/>
  <c r="J5" i="133" a="1"/>
  <c r="I5" i="129" a="1"/>
  <c r="L3" i="133" a="1"/>
  <c r="H4" i="126" a="1"/>
  <c r="I5" i="135" a="1"/>
  <c r="K3" i="111" a="1"/>
  <c r="K4" i="127" a="1"/>
  <c r="J5" i="124" a="1"/>
  <c r="H4" i="124" a="1"/>
  <c r="J5" i="128" a="1"/>
  <c r="I5" i="125" a="1"/>
  <c r="L2" i="125" a="1"/>
  <c r="K4" i="125" a="1"/>
  <c r="H4" i="132" a="1"/>
  <c r="J5" i="130" a="1"/>
  <c r="K4" i="124" a="1"/>
  <c r="J5" i="134" a="1"/>
  <c r="K4" i="134" a="1"/>
  <c r="K4" i="132" a="1"/>
  <c r="I5" i="128" a="1"/>
  <c r="I5" i="134" a="1"/>
  <c r="I5" i="126" a="1"/>
  <c r="I5" i="124" a="1"/>
  <c r="H4" i="125" a="1"/>
  <c r="I5" i="132" a="1"/>
  <c r="J4" i="111" a="1"/>
  <c r="H4" i="127" a="1"/>
  <c r="L3" i="135" a="1"/>
  <c r="L3" i="124" a="1"/>
  <c r="U37" i="129"/>
  <c r="L2" i="131" l="1"/>
  <c r="L2" i="125"/>
  <c r="O2" i="125" s="1" a="1"/>
  <c r="O2" i="125" s="1"/>
  <c r="T2" i="134"/>
  <c r="T2" i="126"/>
  <c r="W37" i="129"/>
  <c r="L3" i="135"/>
  <c r="L3" i="134"/>
  <c r="J5" i="134"/>
  <c r="I5" i="134"/>
  <c r="H4" i="134"/>
  <c r="J5" i="128"/>
  <c r="I5" i="128"/>
  <c r="H4" i="127"/>
  <c r="K4" i="134"/>
  <c r="K4" i="131"/>
  <c r="J5" i="135"/>
  <c r="I5" i="135"/>
  <c r="H4" i="124"/>
  <c r="K4" i="133"/>
  <c r="I5" i="124"/>
  <c r="J5" i="124"/>
  <c r="H4" i="132"/>
  <c r="K4" i="124"/>
  <c r="H4" i="128"/>
  <c r="H4" i="133"/>
  <c r="J5" i="125"/>
  <c r="I5" i="125"/>
  <c r="L3" i="124"/>
  <c r="J5" i="129"/>
  <c r="I5" i="129"/>
  <c r="J5" i="126"/>
  <c r="I5" i="126"/>
  <c r="J5" i="133"/>
  <c r="I5" i="133"/>
  <c r="J5" i="131"/>
  <c r="I5" i="131"/>
  <c r="L3" i="133"/>
  <c r="K4" i="132"/>
  <c r="K4" i="128"/>
  <c r="H4" i="129"/>
  <c r="L3" i="127"/>
  <c r="J5" i="130"/>
  <c r="I5" i="130"/>
  <c r="J5" i="132"/>
  <c r="I5" i="132"/>
  <c r="K4" i="130"/>
  <c r="H4" i="125"/>
  <c r="H4" i="126"/>
  <c r="K4" i="129"/>
  <c r="H4" i="130"/>
  <c r="H4" i="135"/>
  <c r="K4" i="125"/>
  <c r="K4" i="126"/>
  <c r="I5" i="127"/>
  <c r="J5" i="127"/>
  <c r="K4" i="127"/>
  <c r="K4" i="135"/>
  <c r="H4" i="131"/>
  <c r="A6" i="134"/>
  <c r="C7" i="134"/>
  <c r="B6" i="134"/>
  <c r="Y6" i="134"/>
  <c r="Y6" i="128"/>
  <c r="B6" i="128"/>
  <c r="A6" i="128"/>
  <c r="C7" i="128"/>
  <c r="Y6" i="125"/>
  <c r="B6" i="125"/>
  <c r="A6" i="125"/>
  <c r="C7" i="125"/>
  <c r="B6" i="131"/>
  <c r="A6" i="131"/>
  <c r="Y6" i="131"/>
  <c r="C7" i="131"/>
  <c r="P2" i="133" a="1"/>
  <c r="P2" i="133" s="1"/>
  <c r="O2" i="133" a="1"/>
  <c r="O2" i="133" s="1"/>
  <c r="N2" i="133" a="1"/>
  <c r="N2" i="133" s="1"/>
  <c r="M2" i="133" a="1"/>
  <c r="M2" i="133" s="1"/>
  <c r="O2" i="128" a="1"/>
  <c r="O2" i="128" s="1"/>
  <c r="N2" i="128" a="1"/>
  <c r="N2" i="128" s="1"/>
  <c r="M2" i="128" a="1"/>
  <c r="M2" i="128" s="1"/>
  <c r="P2" i="128" a="1"/>
  <c r="P2" i="128" s="1"/>
  <c r="P2" i="125" a="1"/>
  <c r="P2" i="125" s="1"/>
  <c r="C7" i="127"/>
  <c r="Y6" i="127"/>
  <c r="B6" i="127"/>
  <c r="A6" i="127"/>
  <c r="A6" i="133"/>
  <c r="C7" i="133"/>
  <c r="Y6" i="133"/>
  <c r="B6" i="133"/>
  <c r="B6" i="126"/>
  <c r="A6" i="126"/>
  <c r="Y6" i="126"/>
  <c r="C7" i="126"/>
  <c r="C7" i="135"/>
  <c r="A6" i="135"/>
  <c r="Y6" i="135"/>
  <c r="B6" i="135"/>
  <c r="C7" i="129"/>
  <c r="B6" i="129"/>
  <c r="A6" i="129"/>
  <c r="Y6" i="129"/>
  <c r="N2" i="135" a="1"/>
  <c r="N2" i="135" s="1"/>
  <c r="M2" i="135" a="1"/>
  <c r="M2" i="135" s="1"/>
  <c r="P2" i="135" a="1"/>
  <c r="P2" i="135" s="1"/>
  <c r="O2" i="135" a="1"/>
  <c r="O2" i="135" s="1"/>
  <c r="O2" i="129" a="1"/>
  <c r="O2" i="129" s="1"/>
  <c r="N2" i="129" a="1"/>
  <c r="N2" i="129" s="1"/>
  <c r="M2" i="129" a="1"/>
  <c r="M2" i="129" s="1"/>
  <c r="P2" i="129" a="1"/>
  <c r="P2" i="129" s="1"/>
  <c r="A6" i="124"/>
  <c r="C7" i="124"/>
  <c r="Y6" i="124"/>
  <c r="B6" i="124"/>
  <c r="M2" i="132" a="1"/>
  <c r="M2" i="132" s="1"/>
  <c r="O2" i="132" a="1"/>
  <c r="O2" i="132" s="1"/>
  <c r="P2" i="132" a="1"/>
  <c r="P2" i="132" s="1"/>
  <c r="N2" i="132" a="1"/>
  <c r="N2" i="132" s="1"/>
  <c r="N2" i="130" a="1"/>
  <c r="N2" i="130" s="1"/>
  <c r="M2" i="130" a="1"/>
  <c r="M2" i="130" s="1"/>
  <c r="P2" i="130" a="1"/>
  <c r="P2" i="130" s="1"/>
  <c r="O2" i="130" a="1"/>
  <c r="O2" i="130" s="1"/>
  <c r="N2" i="124" a="1"/>
  <c r="N2" i="124" s="1"/>
  <c r="M2" i="124" a="1"/>
  <c r="M2" i="124" s="1"/>
  <c r="P2" i="124" a="1"/>
  <c r="P2" i="124" s="1"/>
  <c r="O2" i="124" a="1"/>
  <c r="O2" i="124" s="1"/>
  <c r="Y6" i="132"/>
  <c r="C7" i="132"/>
  <c r="B6" i="132"/>
  <c r="A6" i="132"/>
  <c r="O2" i="127" a="1"/>
  <c r="O2" i="127" s="1"/>
  <c r="N2" i="127" a="1"/>
  <c r="N2" i="127" s="1"/>
  <c r="M2" i="127" a="1"/>
  <c r="M2" i="127" s="1"/>
  <c r="P2" i="127" a="1"/>
  <c r="P2" i="127" s="1"/>
  <c r="P2" i="134" a="1"/>
  <c r="P2" i="134" s="1"/>
  <c r="O2" i="134" a="1"/>
  <c r="O2" i="134" s="1"/>
  <c r="N2" i="134" a="1"/>
  <c r="N2" i="134" s="1"/>
  <c r="M2" i="134" a="1"/>
  <c r="M2" i="134" s="1"/>
  <c r="N2" i="126" a="1"/>
  <c r="N2" i="126" s="1"/>
  <c r="M2" i="126" a="1"/>
  <c r="M2" i="126" s="1"/>
  <c r="P2" i="126" a="1"/>
  <c r="P2" i="126" s="1"/>
  <c r="O2" i="126" a="1"/>
  <c r="O2" i="126" s="1"/>
  <c r="O2" i="131" a="1"/>
  <c r="O2" i="131" s="1"/>
  <c r="N2" i="131" a="1"/>
  <c r="N2" i="131" s="1"/>
  <c r="M2" i="131" a="1"/>
  <c r="M2" i="131" s="1"/>
  <c r="P2" i="131" a="1"/>
  <c r="P2" i="131" s="1"/>
  <c r="B6" i="130"/>
  <c r="A6" i="130"/>
  <c r="C7" i="130"/>
  <c r="Y6" i="130"/>
  <c r="K3" i="111"/>
  <c r="H3" i="111"/>
  <c r="J4" i="111"/>
  <c r="I4" i="111"/>
  <c r="T5" i="111" a="1"/>
  <c r="T5" i="111" s="1"/>
  <c r="A26" i="56"/>
  <c r="C27" i="56"/>
  <c r="A5" i="111"/>
  <c r="Y5" i="111"/>
  <c r="C6" i="111"/>
  <c r="B6" i="111" s="1"/>
  <c r="H5" i="135" a="1"/>
  <c r="I6" i="133" a="1"/>
  <c r="T2" i="124" a="1"/>
  <c r="L3" i="128" a="1"/>
  <c r="K5" i="128" a="1"/>
  <c r="H5" i="131" a="1"/>
  <c r="L3" i="131" a="1"/>
  <c r="K5" i="127" a="1"/>
  <c r="I6" i="124" a="1"/>
  <c r="H5" i="126" a="1"/>
  <c r="J6" i="135" a="1"/>
  <c r="K5" i="130" a="1"/>
  <c r="H5" i="130" a="1"/>
  <c r="H5" i="124" a="1"/>
  <c r="J6" i="130" a="1"/>
  <c r="J6" i="126" a="1"/>
  <c r="T2" i="125" a="1"/>
  <c r="J6" i="134" a="1"/>
  <c r="J6" i="131" a="1"/>
  <c r="H5" i="129" a="1"/>
  <c r="L3" i="125" a="1"/>
  <c r="I6" i="128" a="1"/>
  <c r="I6" i="135" a="1"/>
  <c r="H4" i="111" a="1"/>
  <c r="L4" i="133" a="1"/>
  <c r="L4" i="135" a="1"/>
  <c r="K5" i="135" a="1"/>
  <c r="K5" i="132" a="1"/>
  <c r="I6" i="130" a="1"/>
  <c r="K5" i="125" a="1"/>
  <c r="J6" i="128" a="1"/>
  <c r="H5" i="134" a="1"/>
  <c r="H5" i="127" a="1"/>
  <c r="L4" i="127" a="1"/>
  <c r="H5" i="128" a="1"/>
  <c r="L2" i="111" a="1"/>
  <c r="J6" i="124" a="1"/>
  <c r="I6" i="129" a="1"/>
  <c r="I5" i="111" a="1"/>
  <c r="K5" i="126" a="1"/>
  <c r="J6" i="133" a="1"/>
  <c r="L3" i="130" a="1"/>
  <c r="I6" i="132" a="1"/>
  <c r="L4" i="134" a="1"/>
  <c r="I6" i="134" a="1"/>
  <c r="K5" i="133" a="1"/>
  <c r="L4" i="124" a="1"/>
  <c r="H5" i="132" a="1"/>
  <c r="K5" i="134" a="1"/>
  <c r="I6" i="131" a="1"/>
  <c r="J6" i="125" a="1"/>
  <c r="J6" i="129" a="1"/>
  <c r="I6" i="127" a="1"/>
  <c r="K4" i="111" a="1"/>
  <c r="H5" i="125" a="1"/>
  <c r="K5" i="129" a="1"/>
  <c r="K5" i="131" a="1"/>
  <c r="J5" i="111" a="1"/>
  <c r="L3" i="126" a="1"/>
  <c r="I6" i="125" a="1"/>
  <c r="L4" i="130" a="1"/>
  <c r="K5" i="124" a="1"/>
  <c r="J6" i="132" a="1"/>
  <c r="I6" i="126" a="1"/>
  <c r="L4" i="131" a="1"/>
  <c r="L3" i="132" a="1"/>
  <c r="H5" i="133" a="1"/>
  <c r="L3" i="129" a="1"/>
  <c r="J6" i="127" a="1"/>
  <c r="L3" i="111" a="1"/>
  <c r="U37" i="130"/>
  <c r="L3" i="131" l="1"/>
  <c r="N3" i="131" s="1" a="1"/>
  <c r="N3" i="131" s="1"/>
  <c r="L3" i="132"/>
  <c r="M3" i="132" s="1" a="1"/>
  <c r="M3" i="132" s="1"/>
  <c r="L3" i="130"/>
  <c r="L3" i="126"/>
  <c r="P3" i="126" s="1" a="1"/>
  <c r="P3" i="126" s="1"/>
  <c r="L3" i="129"/>
  <c r="O3" i="129" s="1" a="1"/>
  <c r="O3" i="129" s="1"/>
  <c r="N2" i="125" a="1"/>
  <c r="N2" i="125" s="1"/>
  <c r="L3" i="128"/>
  <c r="M3" i="128" s="1" a="1"/>
  <c r="M3" i="128" s="1"/>
  <c r="M2" i="125" a="1"/>
  <c r="M2" i="125" s="1"/>
  <c r="L3" i="125"/>
  <c r="M3" i="125" s="1" a="1"/>
  <c r="M3" i="125" s="1"/>
  <c r="T2" i="125"/>
  <c r="T2" i="124"/>
  <c r="W37" i="130"/>
  <c r="L4" i="135"/>
  <c r="J6" i="124"/>
  <c r="I6" i="124"/>
  <c r="J6" i="131"/>
  <c r="I6" i="131"/>
  <c r="H5" i="127"/>
  <c r="H5" i="135"/>
  <c r="H5" i="134"/>
  <c r="L4" i="130"/>
  <c r="I6" i="127"/>
  <c r="J6" i="127"/>
  <c r="H5" i="126"/>
  <c r="K5" i="135"/>
  <c r="K5" i="134"/>
  <c r="L4" i="127"/>
  <c r="K5" i="126"/>
  <c r="J6" i="132"/>
  <c r="I6" i="132"/>
  <c r="L4" i="124"/>
  <c r="H5" i="132"/>
  <c r="H5" i="129"/>
  <c r="J6" i="126"/>
  <c r="I6" i="126"/>
  <c r="I6" i="128"/>
  <c r="J6" i="128"/>
  <c r="L4" i="131"/>
  <c r="L4" i="133"/>
  <c r="I6" i="125"/>
  <c r="J6" i="125"/>
  <c r="J6" i="133"/>
  <c r="I6" i="133"/>
  <c r="J6" i="134"/>
  <c r="I6" i="134"/>
  <c r="K5" i="132"/>
  <c r="H5" i="131"/>
  <c r="K5" i="129"/>
  <c r="K5" i="124"/>
  <c r="L4" i="134"/>
  <c r="H5" i="130"/>
  <c r="K5" i="131"/>
  <c r="H5" i="124"/>
  <c r="H5" i="128"/>
  <c r="J6" i="130"/>
  <c r="I6" i="130"/>
  <c r="J6" i="135"/>
  <c r="I6" i="135"/>
  <c r="K5" i="130"/>
  <c r="H5" i="133"/>
  <c r="H5" i="125"/>
  <c r="K5" i="128"/>
  <c r="J6" i="129"/>
  <c r="I6" i="129"/>
  <c r="K5" i="127"/>
  <c r="K5" i="133"/>
  <c r="K5" i="125"/>
  <c r="C8" i="135"/>
  <c r="B7" i="135"/>
  <c r="Y7" i="135"/>
  <c r="A7" i="135"/>
  <c r="C8" i="128"/>
  <c r="Y7" i="128"/>
  <c r="B7" i="128"/>
  <c r="A7" i="128"/>
  <c r="C8" i="129"/>
  <c r="B7" i="129"/>
  <c r="Y7" i="129"/>
  <c r="A7" i="129"/>
  <c r="N3" i="132" a="1"/>
  <c r="N3" i="132" s="1"/>
  <c r="O3" i="132" a="1"/>
  <c r="O3" i="132" s="1"/>
  <c r="N3" i="129" a="1"/>
  <c r="N3" i="129" s="1"/>
  <c r="A7" i="125"/>
  <c r="C8" i="125"/>
  <c r="Y7" i="125"/>
  <c r="B7" i="125"/>
  <c r="A7" i="124"/>
  <c r="C8" i="124"/>
  <c r="Y7" i="124"/>
  <c r="B7" i="124"/>
  <c r="M3" i="133" a="1"/>
  <c r="M3" i="133" s="1"/>
  <c r="P3" i="133" a="1"/>
  <c r="P3" i="133" s="1"/>
  <c r="O3" i="133" a="1"/>
  <c r="O3" i="133" s="1"/>
  <c r="N3" i="133" a="1"/>
  <c r="N3" i="133" s="1"/>
  <c r="C8" i="127"/>
  <c r="B7" i="127"/>
  <c r="A7" i="127"/>
  <c r="Y7" i="127"/>
  <c r="C8" i="130"/>
  <c r="Y7" i="130"/>
  <c r="B7" i="130"/>
  <c r="A7" i="130"/>
  <c r="Y7" i="132"/>
  <c r="C8" i="132"/>
  <c r="B7" i="132"/>
  <c r="A7" i="132"/>
  <c r="P3" i="134" a="1"/>
  <c r="P3" i="134" s="1"/>
  <c r="O3" i="134" a="1"/>
  <c r="O3" i="134" s="1"/>
  <c r="M3" i="134" a="1"/>
  <c r="M3" i="134" s="1"/>
  <c r="N3" i="134" a="1"/>
  <c r="N3" i="134" s="1"/>
  <c r="B7" i="131"/>
  <c r="A7" i="131"/>
  <c r="Y7" i="131"/>
  <c r="C8" i="131"/>
  <c r="A7" i="134"/>
  <c r="C8" i="134"/>
  <c r="B7" i="134"/>
  <c r="Y7" i="134"/>
  <c r="N3" i="124" a="1"/>
  <c r="N3" i="124" s="1"/>
  <c r="M3" i="124" a="1"/>
  <c r="M3" i="124" s="1"/>
  <c r="P3" i="124" a="1"/>
  <c r="P3" i="124" s="1"/>
  <c r="O3" i="124" a="1"/>
  <c r="O3" i="124" s="1"/>
  <c r="N3" i="135" a="1"/>
  <c r="N3" i="135" s="1"/>
  <c r="M3" i="135" a="1"/>
  <c r="M3" i="135" s="1"/>
  <c r="P3" i="135" a="1"/>
  <c r="P3" i="135" s="1"/>
  <c r="O3" i="135" a="1"/>
  <c r="O3" i="135" s="1"/>
  <c r="A7" i="133"/>
  <c r="B7" i="133"/>
  <c r="Y7" i="133"/>
  <c r="C8" i="133"/>
  <c r="O3" i="131" a="1"/>
  <c r="O3" i="131" s="1"/>
  <c r="M3" i="131" a="1"/>
  <c r="M3" i="131" s="1"/>
  <c r="P3" i="131" a="1"/>
  <c r="P3" i="131" s="1"/>
  <c r="N3" i="126" a="1"/>
  <c r="N3" i="126" s="1"/>
  <c r="B7" i="126"/>
  <c r="A7" i="126"/>
  <c r="Y7" i="126"/>
  <c r="C8" i="126"/>
  <c r="P3" i="127" a="1"/>
  <c r="P3" i="127" s="1"/>
  <c r="O3" i="127" a="1"/>
  <c r="O3" i="127" s="1"/>
  <c r="N3" i="127" a="1"/>
  <c r="N3" i="127" s="1"/>
  <c r="M3" i="127" a="1"/>
  <c r="M3" i="127" s="1"/>
  <c r="P3" i="130" a="1"/>
  <c r="P3" i="130" s="1"/>
  <c r="O3" i="130" a="1"/>
  <c r="O3" i="130" s="1"/>
  <c r="N3" i="130" a="1"/>
  <c r="N3" i="130" s="1"/>
  <c r="M3" i="130" a="1"/>
  <c r="M3" i="130" s="1"/>
  <c r="K4" i="111"/>
  <c r="L3" i="111"/>
  <c r="H4" i="111"/>
  <c r="J5" i="111"/>
  <c r="I5" i="111"/>
  <c r="T6" i="111" a="1"/>
  <c r="T6" i="111" s="1"/>
  <c r="L2" i="111"/>
  <c r="O2" i="111" s="1" a="1"/>
  <c r="O2" i="111" s="1"/>
  <c r="Y6" i="111"/>
  <c r="L25" i="56"/>
  <c r="C28" i="56"/>
  <c r="A27" i="56"/>
  <c r="C7" i="111"/>
  <c r="B7" i="111" s="1"/>
  <c r="A6" i="111"/>
  <c r="T2" i="131" a="1"/>
  <c r="J7" i="124" a="1"/>
  <c r="L4" i="125" a="1"/>
  <c r="H6" i="128" a="1"/>
  <c r="I7" i="126" a="1"/>
  <c r="T2" i="135" a="1"/>
  <c r="J7" i="132" a="1"/>
  <c r="J7" i="128" a="1"/>
  <c r="H6" i="134" a="1"/>
  <c r="L5" i="133" a="1"/>
  <c r="K6" i="134" a="1"/>
  <c r="I7" i="132" a="1"/>
  <c r="H6" i="130" a="1"/>
  <c r="I7" i="130" a="1"/>
  <c r="J7" i="130" a="1"/>
  <c r="L5" i="125" a="1"/>
  <c r="T3" i="131" a="1"/>
  <c r="L4" i="132" a="1"/>
  <c r="I7" i="125" a="1"/>
  <c r="T2" i="132" a="1"/>
  <c r="I7" i="134" a="1"/>
  <c r="H5" i="111" a="1"/>
  <c r="K6" i="128" a="1"/>
  <c r="K6" i="126" a="1"/>
  <c r="I7" i="124" a="1"/>
  <c r="L4" i="126" a="1"/>
  <c r="J7" i="133" a="1"/>
  <c r="L4" i="128" a="1"/>
  <c r="H6" i="129" a="1"/>
  <c r="H6" i="126" a="1"/>
  <c r="I7" i="131" a="1"/>
  <c r="T2" i="127" a="1"/>
  <c r="K6" i="130" a="1"/>
  <c r="J7" i="126" a="1"/>
  <c r="H6" i="132" a="1"/>
  <c r="J6" i="111" a="1"/>
  <c r="H6" i="124" a="1"/>
  <c r="K5" i="111" a="1"/>
  <c r="T3" i="135" a="1"/>
  <c r="H6" i="125" a="1"/>
  <c r="T3" i="130" a="1"/>
  <c r="J7" i="129" a="1"/>
  <c r="T2" i="130" a="1"/>
  <c r="K6" i="129" a="1"/>
  <c r="K6" i="131" a="1"/>
  <c r="T2" i="128" a="1"/>
  <c r="L5" i="135" a="1"/>
  <c r="I7" i="133" a="1"/>
  <c r="J7" i="127" a="1"/>
  <c r="L5" i="127" a="1"/>
  <c r="T3" i="134" a="1"/>
  <c r="J7" i="125" a="1"/>
  <c r="I7" i="128" a="1"/>
  <c r="L5" i="129" a="1"/>
  <c r="J7" i="135" a="1"/>
  <c r="J7" i="131" a="1"/>
  <c r="J7" i="134" a="1"/>
  <c r="L5" i="132" a="1"/>
  <c r="K6" i="125" a="1"/>
  <c r="T2" i="129" a="1"/>
  <c r="K6" i="135" a="1"/>
  <c r="L4" i="129" a="1"/>
  <c r="K6" i="127" a="1"/>
  <c r="K6" i="132" a="1"/>
  <c r="I7" i="127" a="1"/>
  <c r="I7" i="129" a="1"/>
  <c r="T2" i="133" a="1"/>
  <c r="L5" i="131" a="1"/>
  <c r="H6" i="127" a="1"/>
  <c r="K6" i="133" a="1"/>
  <c r="I7" i="135" a="1"/>
  <c r="H6" i="135" a="1"/>
  <c r="I6" i="111" a="1"/>
  <c r="H6" i="131" a="1"/>
  <c r="H6" i="133" a="1"/>
  <c r="K6" i="124" a="1"/>
  <c r="U37" i="131"/>
  <c r="T2" i="131" l="1"/>
  <c r="T3" i="131"/>
  <c r="N3" i="128" a="1"/>
  <c r="N3" i="128" s="1"/>
  <c r="O3" i="128" a="1"/>
  <c r="O3" i="128" s="1"/>
  <c r="P3" i="128" a="1"/>
  <c r="P3" i="128" s="1"/>
  <c r="P3" i="132" a="1"/>
  <c r="P3" i="132" s="1"/>
  <c r="T2" i="133"/>
  <c r="L4" i="132"/>
  <c r="P4" i="132" s="1" a="1"/>
  <c r="P4" i="132" s="1"/>
  <c r="T2" i="132"/>
  <c r="L4" i="129"/>
  <c r="M4" i="129" s="1" a="1"/>
  <c r="M4" i="129" s="1"/>
  <c r="M3" i="126" a="1"/>
  <c r="M3" i="126" s="1"/>
  <c r="O3" i="126" a="1"/>
  <c r="O3" i="126" s="1"/>
  <c r="N3" i="125" a="1"/>
  <c r="N3" i="125" s="1"/>
  <c r="M3" i="129" a="1"/>
  <c r="M3" i="129" s="1"/>
  <c r="P3" i="129" a="1"/>
  <c r="P3" i="129" s="1"/>
  <c r="O3" i="125" a="1"/>
  <c r="O3" i="125" s="1"/>
  <c r="P3" i="125" a="1"/>
  <c r="P3" i="125" s="1"/>
  <c r="L4" i="125"/>
  <c r="L4" i="128"/>
  <c r="N4" i="128" s="1" a="1"/>
  <c r="N4" i="128" s="1"/>
  <c r="L4" i="126"/>
  <c r="M4" i="126" s="1" a="1"/>
  <c r="M4" i="126" s="1"/>
  <c r="T2" i="128"/>
  <c r="T2" i="129"/>
  <c r="T3" i="134"/>
  <c r="W37" i="131"/>
  <c r="T3" i="135"/>
  <c r="T2" i="127"/>
  <c r="T3" i="130"/>
  <c r="T2" i="135"/>
  <c r="T2" i="130"/>
  <c r="L5" i="129"/>
  <c r="L5" i="127"/>
  <c r="L5" i="131"/>
  <c r="L5" i="135"/>
  <c r="L5" i="132"/>
  <c r="J7" i="133"/>
  <c r="I7" i="133"/>
  <c r="L5" i="133"/>
  <c r="J7" i="124"/>
  <c r="I7" i="124"/>
  <c r="J7" i="132"/>
  <c r="I7" i="132"/>
  <c r="J7" i="126"/>
  <c r="I7" i="126"/>
  <c r="K6" i="129"/>
  <c r="K6" i="130"/>
  <c r="H6" i="125"/>
  <c r="K6" i="126"/>
  <c r="J7" i="128"/>
  <c r="I7" i="128"/>
  <c r="H6" i="131"/>
  <c r="K6" i="131"/>
  <c r="L5" i="125"/>
  <c r="H6" i="134"/>
  <c r="K6" i="127"/>
  <c r="H6" i="124"/>
  <c r="J7" i="125"/>
  <c r="I7" i="125"/>
  <c r="I7" i="127"/>
  <c r="J7" i="127"/>
  <c r="J7" i="131"/>
  <c r="I7" i="131"/>
  <c r="J7" i="130"/>
  <c r="I7" i="130"/>
  <c r="J7" i="129"/>
  <c r="I7" i="129"/>
  <c r="K6" i="134"/>
  <c r="H6" i="132"/>
  <c r="H6" i="127"/>
  <c r="K6" i="124"/>
  <c r="H6" i="135"/>
  <c r="H6" i="133"/>
  <c r="K6" i="128"/>
  <c r="K6" i="132"/>
  <c r="J7" i="134"/>
  <c r="I7" i="134"/>
  <c r="J7" i="135"/>
  <c r="I7" i="135"/>
  <c r="K6" i="135"/>
  <c r="K6" i="133"/>
  <c r="H6" i="128"/>
  <c r="H6" i="129"/>
  <c r="H6" i="130"/>
  <c r="K6" i="125"/>
  <c r="H6" i="126"/>
  <c r="Y8" i="130"/>
  <c r="B8" i="130"/>
  <c r="A8" i="130"/>
  <c r="C9" i="130"/>
  <c r="Y8" i="132"/>
  <c r="C9" i="132"/>
  <c r="B8" i="132"/>
  <c r="A8" i="132"/>
  <c r="B8" i="124"/>
  <c r="A8" i="124"/>
  <c r="Y8" i="124"/>
  <c r="C9" i="124"/>
  <c r="N4" i="133" a="1"/>
  <c r="N4" i="133" s="1"/>
  <c r="P4" i="133" a="1"/>
  <c r="P4" i="133" s="1"/>
  <c r="O4" i="133" a="1"/>
  <c r="O4" i="133" s="1"/>
  <c r="M4" i="133" a="1"/>
  <c r="M4" i="133" s="1"/>
  <c r="B8" i="126"/>
  <c r="A8" i="126"/>
  <c r="Y8" i="126"/>
  <c r="C9" i="126"/>
  <c r="B8" i="131"/>
  <c r="A8" i="131"/>
  <c r="Y8" i="131"/>
  <c r="C9" i="131"/>
  <c r="O4" i="129" a="1"/>
  <c r="O4" i="129" s="1"/>
  <c r="N4" i="129" a="1"/>
  <c r="N4" i="129" s="1"/>
  <c r="P4" i="129" a="1"/>
  <c r="P4" i="129" s="1"/>
  <c r="A8" i="133"/>
  <c r="C9" i="133"/>
  <c r="B8" i="133"/>
  <c r="Y8" i="133"/>
  <c r="B8" i="128"/>
  <c r="A8" i="128"/>
  <c r="C9" i="128"/>
  <c r="Y8" i="128"/>
  <c r="N4" i="126" a="1"/>
  <c r="N4" i="126" s="1"/>
  <c r="N4" i="124" a="1"/>
  <c r="N4" i="124" s="1"/>
  <c r="M4" i="124" a="1"/>
  <c r="M4" i="124" s="1"/>
  <c r="P4" i="124" a="1"/>
  <c r="P4" i="124" s="1"/>
  <c r="O4" i="124" a="1"/>
  <c r="O4" i="124" s="1"/>
  <c r="C9" i="127"/>
  <c r="Y8" i="127"/>
  <c r="B8" i="127"/>
  <c r="A8" i="127"/>
  <c r="Y8" i="125"/>
  <c r="B8" i="125"/>
  <c r="A8" i="125"/>
  <c r="C9" i="125"/>
  <c r="O4" i="131" a="1"/>
  <c r="O4" i="131" s="1"/>
  <c r="N4" i="131" a="1"/>
  <c r="N4" i="131" s="1"/>
  <c r="M4" i="131" a="1"/>
  <c r="M4" i="131" s="1"/>
  <c r="P4" i="131" a="1"/>
  <c r="P4" i="131" s="1"/>
  <c r="C9" i="129"/>
  <c r="B8" i="129"/>
  <c r="A8" i="129"/>
  <c r="Y8" i="129"/>
  <c r="P4" i="134" a="1"/>
  <c r="P4" i="134" s="1"/>
  <c r="O4" i="134" a="1"/>
  <c r="O4" i="134" s="1"/>
  <c r="N4" i="134" a="1"/>
  <c r="N4" i="134" s="1"/>
  <c r="M4" i="134" a="1"/>
  <c r="M4" i="134" s="1"/>
  <c r="M4" i="130" a="1"/>
  <c r="M4" i="130" s="1"/>
  <c r="P4" i="130" a="1"/>
  <c r="P4" i="130" s="1"/>
  <c r="O4" i="130" a="1"/>
  <c r="O4" i="130" s="1"/>
  <c r="N4" i="130" a="1"/>
  <c r="N4" i="130" s="1"/>
  <c r="P4" i="128" a="1"/>
  <c r="P4" i="128" s="1"/>
  <c r="O4" i="128" a="1"/>
  <c r="O4" i="128" s="1"/>
  <c r="O4" i="125" a="1"/>
  <c r="O4" i="125" s="1"/>
  <c r="N4" i="125" a="1"/>
  <c r="N4" i="125" s="1"/>
  <c r="M4" i="125" a="1"/>
  <c r="M4" i="125" s="1"/>
  <c r="P4" i="125" a="1"/>
  <c r="P4" i="125" s="1"/>
  <c r="A8" i="134"/>
  <c r="C9" i="134"/>
  <c r="B8" i="134"/>
  <c r="Y8" i="134"/>
  <c r="C9" i="135"/>
  <c r="B8" i="135"/>
  <c r="Y8" i="135"/>
  <c r="A8" i="135"/>
  <c r="M4" i="127" a="1"/>
  <c r="M4" i="127" s="1"/>
  <c r="O4" i="127" a="1"/>
  <c r="O4" i="127" s="1"/>
  <c r="N4" i="127" a="1"/>
  <c r="N4" i="127" s="1"/>
  <c r="P4" i="127" a="1"/>
  <c r="P4" i="127" s="1"/>
  <c r="N4" i="135" a="1"/>
  <c r="N4" i="135" s="1"/>
  <c r="M4" i="135" a="1"/>
  <c r="M4" i="135" s="1"/>
  <c r="P4" i="135" a="1"/>
  <c r="P4" i="135" s="1"/>
  <c r="O4" i="135" a="1"/>
  <c r="O4" i="135" s="1"/>
  <c r="K5" i="111"/>
  <c r="M3" i="111" a="1"/>
  <c r="M3" i="111" s="1"/>
  <c r="N3" i="111" a="1"/>
  <c r="N3" i="111" s="1"/>
  <c r="O3" i="111" a="1"/>
  <c r="O3" i="111" s="1"/>
  <c r="M2" i="111" a="1"/>
  <c r="M2" i="111" s="1"/>
  <c r="N2" i="111" a="1"/>
  <c r="N2" i="111" s="1"/>
  <c r="P2" i="111" a="1"/>
  <c r="P2" i="111" s="1"/>
  <c r="P3" i="111" a="1"/>
  <c r="P3" i="111" s="1"/>
  <c r="H5" i="111"/>
  <c r="J6" i="111"/>
  <c r="I6" i="111"/>
  <c r="T7" i="111" a="1"/>
  <c r="T7" i="111" s="1"/>
  <c r="C8" i="111"/>
  <c r="O25" i="56"/>
  <c r="N25" i="56"/>
  <c r="M25" i="56"/>
  <c r="L26" i="56"/>
  <c r="A28" i="56"/>
  <c r="C29" i="56"/>
  <c r="Y7" i="111"/>
  <c r="A7" i="111"/>
  <c r="H7" i="125" a="1"/>
  <c r="I8" i="130" a="1"/>
  <c r="J8" i="127" a="1"/>
  <c r="J8" i="135" a="1"/>
  <c r="K7" i="128" a="1"/>
  <c r="L6" i="128" a="1"/>
  <c r="K7" i="129" a="1"/>
  <c r="H7" i="134" a="1"/>
  <c r="I8" i="128" a="1"/>
  <c r="J8" i="125" a="1"/>
  <c r="L6" i="130" a="1"/>
  <c r="I8" i="133" a="1"/>
  <c r="J8" i="124" a="1"/>
  <c r="T4" i="128" a="1"/>
  <c r="L5" i="128" a="1"/>
  <c r="K7" i="134" a="1"/>
  <c r="J8" i="133" a="1"/>
  <c r="H7" i="130" a="1"/>
  <c r="H7" i="129" a="1"/>
  <c r="K7" i="135" a="1"/>
  <c r="I8" i="129" a="1"/>
  <c r="I8" i="127" a="1"/>
  <c r="I8" i="132" a="1"/>
  <c r="I8" i="125" a="1"/>
  <c r="J8" i="132" a="1"/>
  <c r="J8" i="131" a="1"/>
  <c r="K7" i="125" a="1"/>
  <c r="L5" i="126" a="1"/>
  <c r="L6" i="132" a="1"/>
  <c r="T4" i="131" a="1"/>
  <c r="T3" i="127" a="1"/>
  <c r="J8" i="126" a="1"/>
  <c r="H7" i="135" a="1"/>
  <c r="T4" i="133" a="1"/>
  <c r="T3" i="124" a="1"/>
  <c r="K7" i="132" a="1"/>
  <c r="K6" i="111" a="1"/>
  <c r="K7" i="127" a="1"/>
  <c r="I8" i="131" a="1"/>
  <c r="K7" i="126" a="1"/>
  <c r="J8" i="128" a="1"/>
  <c r="H7" i="124" a="1"/>
  <c r="L5" i="124" a="1"/>
  <c r="L5" i="130" a="1"/>
  <c r="I7" i="111" a="1"/>
  <c r="J8" i="134" a="1"/>
  <c r="T3" i="125" a="1"/>
  <c r="J7" i="111" a="1"/>
  <c r="H6" i="111" a="1"/>
  <c r="T5" i="133" a="1"/>
  <c r="L5" i="134" a="1"/>
  <c r="T3" i="129" a="1"/>
  <c r="H7" i="128" a="1"/>
  <c r="J8" i="130" a="1"/>
  <c r="H7" i="126" a="1"/>
  <c r="H7" i="127" a="1"/>
  <c r="K7" i="131" a="1"/>
  <c r="I8" i="126" a="1"/>
  <c r="K7" i="133" a="1"/>
  <c r="T3" i="133" a="1"/>
  <c r="H7" i="132" a="1"/>
  <c r="I8" i="124" a="1"/>
  <c r="J8" i="129" a="1"/>
  <c r="T3" i="132" a="1"/>
  <c r="I8" i="135" a="1"/>
  <c r="K7" i="130" a="1"/>
  <c r="T3" i="126" a="1"/>
  <c r="K7" i="124" a="1"/>
  <c r="H7" i="133" a="1"/>
  <c r="I8" i="134" a="1"/>
  <c r="H7" i="131" a="1"/>
  <c r="T3" i="128" a="1"/>
  <c r="L4" i="111" a="1"/>
  <c r="L6" i="126" a="1"/>
  <c r="L6" i="133" a="1"/>
  <c r="U37" i="132"/>
  <c r="M4" i="132" l="1" a="1"/>
  <c r="M4" i="132" s="1"/>
  <c r="N4" i="132" a="1"/>
  <c r="N4" i="132" s="1"/>
  <c r="O4" i="132" a="1"/>
  <c r="O4" i="132" s="1"/>
  <c r="L5" i="128"/>
  <c r="T3" i="128"/>
  <c r="M4" i="128" a="1"/>
  <c r="M4" i="128" s="1"/>
  <c r="L5" i="134"/>
  <c r="L5" i="126"/>
  <c r="O5" i="126" s="1" a="1"/>
  <c r="O5" i="126" s="1"/>
  <c r="L5" i="130"/>
  <c r="O4" i="126" a="1"/>
  <c r="O4" i="126" s="1"/>
  <c r="P4" i="126" a="1"/>
  <c r="P4" i="126" s="1"/>
  <c r="L4" i="111"/>
  <c r="O4" i="111" s="1" a="1"/>
  <c r="O4" i="111" s="1"/>
  <c r="T4" i="128"/>
  <c r="T3" i="124"/>
  <c r="T3" i="127"/>
  <c r="T4" i="133"/>
  <c r="L5" i="124"/>
  <c r="P5" i="124" s="1" a="1"/>
  <c r="P5" i="124" s="1"/>
  <c r="T3" i="125"/>
  <c r="T3" i="129"/>
  <c r="T3" i="126"/>
  <c r="W37" i="132"/>
  <c r="T4" i="131"/>
  <c r="T5" i="133"/>
  <c r="T3" i="132"/>
  <c r="T3" i="133"/>
  <c r="J8" i="124"/>
  <c r="I8" i="124"/>
  <c r="K7" i="127"/>
  <c r="H7" i="133"/>
  <c r="I8" i="135"/>
  <c r="J8" i="135"/>
  <c r="I8" i="127"/>
  <c r="J8" i="127"/>
  <c r="J8" i="131"/>
  <c r="I8" i="131"/>
  <c r="H7" i="129"/>
  <c r="H7" i="127"/>
  <c r="H7" i="126"/>
  <c r="K7" i="133"/>
  <c r="J8" i="132"/>
  <c r="I8" i="132"/>
  <c r="J8" i="130"/>
  <c r="I8" i="130"/>
  <c r="K7" i="129"/>
  <c r="K7" i="126"/>
  <c r="L6" i="128"/>
  <c r="L6" i="133"/>
  <c r="J8" i="129"/>
  <c r="I8" i="129"/>
  <c r="H7" i="130"/>
  <c r="H7" i="125"/>
  <c r="H7" i="128"/>
  <c r="H7" i="132"/>
  <c r="L6" i="126"/>
  <c r="I8" i="134"/>
  <c r="J8" i="134"/>
  <c r="H7" i="135"/>
  <c r="K7" i="130"/>
  <c r="K7" i="125"/>
  <c r="K7" i="128"/>
  <c r="K7" i="132"/>
  <c r="J8" i="128"/>
  <c r="I8" i="128"/>
  <c r="J8" i="126"/>
  <c r="I8" i="126"/>
  <c r="K7" i="135"/>
  <c r="H7" i="131"/>
  <c r="H7" i="124"/>
  <c r="L6" i="130"/>
  <c r="L6" i="132"/>
  <c r="J8" i="125"/>
  <c r="I8" i="125"/>
  <c r="H7" i="134"/>
  <c r="K7" i="131"/>
  <c r="K7" i="124"/>
  <c r="I8" i="133"/>
  <c r="J8" i="133"/>
  <c r="K7" i="134"/>
  <c r="A9" i="134"/>
  <c r="C10" i="134"/>
  <c r="B9" i="134"/>
  <c r="Y9" i="134"/>
  <c r="A9" i="133"/>
  <c r="Y9" i="133"/>
  <c r="B9" i="133"/>
  <c r="C10" i="133"/>
  <c r="Y9" i="130"/>
  <c r="B9" i="130"/>
  <c r="A9" i="130"/>
  <c r="C10" i="130"/>
  <c r="P5" i="128" a="1"/>
  <c r="P5" i="128" s="1"/>
  <c r="O5" i="128" a="1"/>
  <c r="O5" i="128" s="1"/>
  <c r="N5" i="128" a="1"/>
  <c r="N5" i="128" s="1"/>
  <c r="M5" i="128" a="1"/>
  <c r="M5" i="128" s="1"/>
  <c r="P5" i="125" a="1"/>
  <c r="P5" i="125" s="1"/>
  <c r="O5" i="125" a="1"/>
  <c r="O5" i="125" s="1"/>
  <c r="N5" i="125" a="1"/>
  <c r="N5" i="125" s="1"/>
  <c r="M5" i="125" a="1"/>
  <c r="M5" i="125" s="1"/>
  <c r="C10" i="135"/>
  <c r="B9" i="135"/>
  <c r="Y9" i="135"/>
  <c r="A9" i="135"/>
  <c r="B9" i="126"/>
  <c r="A9" i="126"/>
  <c r="Y9" i="126"/>
  <c r="C10" i="126"/>
  <c r="P5" i="134" a="1"/>
  <c r="P5" i="134" s="1"/>
  <c r="M5" i="134" a="1"/>
  <c r="M5" i="134" s="1"/>
  <c r="O5" i="134" a="1"/>
  <c r="O5" i="134" s="1"/>
  <c r="N5" i="134" a="1"/>
  <c r="N5" i="134" s="1"/>
  <c r="C10" i="127"/>
  <c r="Y9" i="127"/>
  <c r="B9" i="127"/>
  <c r="A9" i="127"/>
  <c r="Y9" i="128"/>
  <c r="B9" i="128"/>
  <c r="A9" i="128"/>
  <c r="C10" i="128"/>
  <c r="Y9" i="132"/>
  <c r="C10" i="132"/>
  <c r="B9" i="132"/>
  <c r="A9" i="132"/>
  <c r="N5" i="132" a="1"/>
  <c r="N5" i="132" s="1"/>
  <c r="M5" i="132" a="1"/>
  <c r="M5" i="132" s="1"/>
  <c r="P5" i="132" a="1"/>
  <c r="P5" i="132" s="1"/>
  <c r="O5" i="132" a="1"/>
  <c r="O5" i="132" s="1"/>
  <c r="C10" i="129"/>
  <c r="B9" i="129"/>
  <c r="Y9" i="129"/>
  <c r="A9" i="129"/>
  <c r="Y9" i="125"/>
  <c r="A9" i="125"/>
  <c r="C10" i="125"/>
  <c r="B9" i="125"/>
  <c r="P5" i="135" a="1"/>
  <c r="P5" i="135" s="1"/>
  <c r="O5" i="135" a="1"/>
  <c r="O5" i="135" s="1"/>
  <c r="N5" i="135" a="1"/>
  <c r="N5" i="135" s="1"/>
  <c r="M5" i="135" a="1"/>
  <c r="M5" i="135" s="1"/>
  <c r="Y9" i="124"/>
  <c r="B9" i="124"/>
  <c r="A9" i="124"/>
  <c r="C10" i="124"/>
  <c r="O5" i="131" a="1"/>
  <c r="O5" i="131" s="1"/>
  <c r="N5" i="131" a="1"/>
  <c r="N5" i="131" s="1"/>
  <c r="M5" i="131" a="1"/>
  <c r="M5" i="131" s="1"/>
  <c r="P5" i="131" a="1"/>
  <c r="P5" i="131" s="1"/>
  <c r="B9" i="131"/>
  <c r="A9" i="131"/>
  <c r="Y9" i="131"/>
  <c r="C10" i="131"/>
  <c r="M5" i="127" a="1"/>
  <c r="M5" i="127" s="1"/>
  <c r="N5" i="127" a="1"/>
  <c r="N5" i="127" s="1"/>
  <c r="P5" i="127" a="1"/>
  <c r="P5" i="127" s="1"/>
  <c r="O5" i="127" a="1"/>
  <c r="O5" i="127" s="1"/>
  <c r="O5" i="130" a="1"/>
  <c r="O5" i="130" s="1"/>
  <c r="N5" i="130" a="1"/>
  <c r="N5" i="130" s="1"/>
  <c r="M5" i="130" a="1"/>
  <c r="M5" i="130" s="1"/>
  <c r="P5" i="130" a="1"/>
  <c r="P5" i="130" s="1"/>
  <c r="M5" i="133" a="1"/>
  <c r="M5" i="133" s="1"/>
  <c r="O5" i="133" a="1"/>
  <c r="O5" i="133" s="1"/>
  <c r="P5" i="133" a="1"/>
  <c r="P5" i="133" s="1"/>
  <c r="N5" i="133" a="1"/>
  <c r="N5" i="133" s="1"/>
  <c r="O5" i="129" a="1"/>
  <c r="O5" i="129" s="1"/>
  <c r="P5" i="129" a="1"/>
  <c r="P5" i="129" s="1"/>
  <c r="N5" i="129" a="1"/>
  <c r="N5" i="129" s="1"/>
  <c r="M5" i="129" a="1"/>
  <c r="M5" i="129" s="1"/>
  <c r="K6" i="111"/>
  <c r="J7" i="111"/>
  <c r="I7" i="111"/>
  <c r="H6" i="111"/>
  <c r="Y8" i="111"/>
  <c r="B8" i="111"/>
  <c r="A8" i="111"/>
  <c r="C9" i="111"/>
  <c r="T25" i="56"/>
  <c r="O26" i="56"/>
  <c r="N26" i="56"/>
  <c r="M26" i="56"/>
  <c r="P25" i="56"/>
  <c r="C30" i="56"/>
  <c r="A29" i="56"/>
  <c r="J9" i="132" a="1"/>
  <c r="K8" i="132" a="1"/>
  <c r="L6" i="135" a="1"/>
  <c r="K8" i="130" a="1"/>
  <c r="L6" i="124" a="1"/>
  <c r="I9" i="132" a="1"/>
  <c r="H8" i="126" a="1"/>
  <c r="H8" i="129" a="1"/>
  <c r="L7" i="127" a="1"/>
  <c r="K8" i="129" a="1"/>
  <c r="J9" i="125" a="1"/>
  <c r="K8" i="133" a="1"/>
  <c r="L7" i="129" a="1"/>
  <c r="J9" i="128" a="1"/>
  <c r="T5" i="124" a="1"/>
  <c r="T4" i="129" a="1"/>
  <c r="L6" i="131" a="1"/>
  <c r="H8" i="133" a="1"/>
  <c r="J9" i="135" a="1"/>
  <c r="H8" i="124" a="1"/>
  <c r="I9" i="130" a="1"/>
  <c r="I9" i="131" a="1"/>
  <c r="J9" i="124" a="1"/>
  <c r="H8" i="125" a="1"/>
  <c r="T6" i="130" a="1"/>
  <c r="H7" i="111" a="1"/>
  <c r="H8" i="130" a="1"/>
  <c r="H8" i="131" a="1"/>
  <c r="T4" i="132" a="1"/>
  <c r="I9" i="135" a="1"/>
  <c r="T4" i="126" a="1"/>
  <c r="J9" i="127" a="1"/>
  <c r="I9" i="127" a="1"/>
  <c r="J9" i="133" a="1"/>
  <c r="L7" i="125" a="1"/>
  <c r="L5" i="111" a="1"/>
  <c r="J9" i="131" a="1"/>
  <c r="K8" i="127" a="1"/>
  <c r="J9" i="129" a="1"/>
  <c r="T4" i="125" a="1"/>
  <c r="I9" i="133" a="1"/>
  <c r="T4" i="127" a="1"/>
  <c r="I9" i="124" a="1"/>
  <c r="L7" i="131" a="1"/>
  <c r="T4" i="124" a="1"/>
  <c r="T4" i="134" a="1"/>
  <c r="L6" i="134" a="1"/>
  <c r="L6" i="129" a="1"/>
  <c r="J9" i="130" a="1"/>
  <c r="I9" i="128" a="1"/>
  <c r="K8" i="128" a="1"/>
  <c r="J9" i="134" a="1"/>
  <c r="T4" i="130" a="1"/>
  <c r="J9" i="126" a="1"/>
  <c r="L6" i="127" a="1"/>
  <c r="K7" i="111" a="1"/>
  <c r="L7" i="133" a="1"/>
  <c r="H8" i="128" a="1"/>
  <c r="L7" i="132" a="1"/>
  <c r="K8" i="135" a="1"/>
  <c r="K8" i="126" a="1"/>
  <c r="L6" i="125" a="1"/>
  <c r="H8" i="127" a="1"/>
  <c r="H8" i="134" a="1"/>
  <c r="L7" i="124" a="1"/>
  <c r="H8" i="135" a="1"/>
  <c r="I9" i="134" a="1"/>
  <c r="K8" i="125" a="1"/>
  <c r="K8" i="131" a="1"/>
  <c r="J8" i="111" a="1"/>
  <c r="I9" i="129" a="1"/>
  <c r="I9" i="125" a="1"/>
  <c r="K8" i="124" a="1"/>
  <c r="K8" i="134" a="1"/>
  <c r="I8" i="111" a="1"/>
  <c r="T4" i="135" a="1"/>
  <c r="H8" i="132" a="1"/>
  <c r="I9" i="126" a="1"/>
  <c r="U37" i="133"/>
  <c r="M5" i="126" l="1" a="1"/>
  <c r="M5" i="126" s="1"/>
  <c r="N5" i="126" a="1"/>
  <c r="N5" i="126" s="1"/>
  <c r="L6" i="131"/>
  <c r="N4" i="111" a="1"/>
  <c r="N4" i="111" s="1"/>
  <c r="P4" i="111" a="1"/>
  <c r="P4" i="111" s="1"/>
  <c r="M4" i="111" a="1"/>
  <c r="M4" i="111" s="1"/>
  <c r="L6" i="129"/>
  <c r="P5" i="126" a="1"/>
  <c r="P5" i="126" s="1"/>
  <c r="O5" i="124" a="1"/>
  <c r="O5" i="124" s="1"/>
  <c r="L6" i="135"/>
  <c r="P6" i="135" s="1" a="1"/>
  <c r="P6" i="135" s="1"/>
  <c r="T4" i="129"/>
  <c r="T4" i="124"/>
  <c r="L6" i="124"/>
  <c r="O6" i="124" s="1" a="1"/>
  <c r="O6" i="124" s="1"/>
  <c r="L6" i="125"/>
  <c r="M6" i="125" s="1" a="1"/>
  <c r="M6" i="125" s="1"/>
  <c r="L6" i="127"/>
  <c r="O6" i="127" s="1" a="1"/>
  <c r="O6" i="127" s="1"/>
  <c r="L6" i="134"/>
  <c r="O6" i="134" s="1" a="1"/>
  <c r="O6" i="134" s="1"/>
  <c r="N5" i="124" a="1"/>
  <c r="N5" i="124" s="1"/>
  <c r="M5" i="124" a="1"/>
  <c r="M5" i="124" s="1"/>
  <c r="T4" i="127"/>
  <c r="L5" i="111"/>
  <c r="M5" i="111" s="1" a="1"/>
  <c r="M5" i="111" s="1"/>
  <c r="T5" i="124"/>
  <c r="T4" i="130"/>
  <c r="T4" i="132"/>
  <c r="T4" i="134"/>
  <c r="T4" i="135"/>
  <c r="T4" i="125"/>
  <c r="W37" i="133"/>
  <c r="T6" i="130"/>
  <c r="T4" i="126"/>
  <c r="L7" i="125"/>
  <c r="L7" i="129"/>
  <c r="L7" i="133"/>
  <c r="L7" i="131"/>
  <c r="J9" i="126"/>
  <c r="I9" i="126"/>
  <c r="J9" i="131"/>
  <c r="I9" i="131"/>
  <c r="H8" i="135"/>
  <c r="J9" i="129"/>
  <c r="I9" i="129"/>
  <c r="J9" i="130"/>
  <c r="I9" i="130"/>
  <c r="I9" i="134"/>
  <c r="J9" i="134"/>
  <c r="H8" i="130"/>
  <c r="H8" i="131"/>
  <c r="L7" i="132"/>
  <c r="I9" i="128"/>
  <c r="J9" i="128"/>
  <c r="H8" i="126"/>
  <c r="K8" i="130"/>
  <c r="K8" i="131"/>
  <c r="H8" i="124"/>
  <c r="J9" i="124"/>
  <c r="I9" i="124"/>
  <c r="I9" i="135"/>
  <c r="J9" i="135"/>
  <c r="J9" i="125"/>
  <c r="I9" i="125"/>
  <c r="H8" i="125"/>
  <c r="K8" i="126"/>
  <c r="H8" i="129"/>
  <c r="H8" i="132"/>
  <c r="K8" i="124"/>
  <c r="K8" i="133"/>
  <c r="K8" i="125"/>
  <c r="H8" i="128"/>
  <c r="K8" i="134"/>
  <c r="K8" i="129"/>
  <c r="K8" i="132"/>
  <c r="K8" i="127"/>
  <c r="J9" i="132"/>
  <c r="I9" i="132"/>
  <c r="I9" i="127"/>
  <c r="J9" i="127"/>
  <c r="L7" i="127"/>
  <c r="J9" i="133"/>
  <c r="I9" i="133"/>
  <c r="H8" i="133"/>
  <c r="K8" i="128"/>
  <c r="H8" i="134"/>
  <c r="H8" i="127"/>
  <c r="L7" i="124"/>
  <c r="K8" i="135"/>
  <c r="O6" i="126" a="1"/>
  <c r="O6" i="126" s="1"/>
  <c r="N6" i="126" a="1"/>
  <c r="N6" i="126" s="1"/>
  <c r="M6" i="126" a="1"/>
  <c r="M6" i="126" s="1"/>
  <c r="P6" i="126" a="1"/>
  <c r="P6" i="126" s="1"/>
  <c r="C11" i="127"/>
  <c r="B10" i="127"/>
  <c r="Y10" i="127"/>
  <c r="A10" i="127"/>
  <c r="C11" i="130"/>
  <c r="Y10" i="130"/>
  <c r="B10" i="130"/>
  <c r="A10" i="130"/>
  <c r="O6" i="131" a="1"/>
  <c r="O6" i="131" s="1"/>
  <c r="N6" i="131" a="1"/>
  <c r="N6" i="131" s="1"/>
  <c r="M6" i="131" a="1"/>
  <c r="M6" i="131" s="1"/>
  <c r="P6" i="131" a="1"/>
  <c r="P6" i="131" s="1"/>
  <c r="A10" i="128"/>
  <c r="C11" i="128"/>
  <c r="Y10" i="128"/>
  <c r="B10" i="128"/>
  <c r="C11" i="129"/>
  <c r="B10" i="129"/>
  <c r="A10" i="129"/>
  <c r="Y10" i="129"/>
  <c r="B10" i="126"/>
  <c r="A10" i="126"/>
  <c r="Y10" i="126"/>
  <c r="C11" i="126"/>
  <c r="Y10" i="135"/>
  <c r="C11" i="135"/>
  <c r="B10" i="135"/>
  <c r="A10" i="135"/>
  <c r="N6" i="125" a="1"/>
  <c r="N6" i="125" s="1"/>
  <c r="O6" i="125" a="1"/>
  <c r="O6" i="125" s="1"/>
  <c r="B10" i="124"/>
  <c r="A10" i="124"/>
  <c r="C11" i="124"/>
  <c r="Y10" i="124"/>
  <c r="A10" i="134"/>
  <c r="C11" i="134"/>
  <c r="B10" i="134"/>
  <c r="Y10" i="134"/>
  <c r="B10" i="131"/>
  <c r="A10" i="131"/>
  <c r="Y10" i="131"/>
  <c r="C11" i="131"/>
  <c r="Y10" i="125"/>
  <c r="C11" i="125"/>
  <c r="B10" i="125"/>
  <c r="A10" i="125"/>
  <c r="A10" i="133"/>
  <c r="B10" i="133"/>
  <c r="C11" i="133"/>
  <c r="Y10" i="133"/>
  <c r="N6" i="132" a="1"/>
  <c r="N6" i="132" s="1"/>
  <c r="M6" i="132" a="1"/>
  <c r="M6" i="132" s="1"/>
  <c r="P6" i="132" a="1"/>
  <c r="P6" i="132" s="1"/>
  <c r="O6" i="132" a="1"/>
  <c r="O6" i="132" s="1"/>
  <c r="P6" i="133" a="1"/>
  <c r="P6" i="133" s="1"/>
  <c r="N6" i="133" a="1"/>
  <c r="N6" i="133" s="1"/>
  <c r="M6" i="133" a="1"/>
  <c r="M6" i="133" s="1"/>
  <c r="O6" i="133" a="1"/>
  <c r="O6" i="133" s="1"/>
  <c r="Y10" i="132"/>
  <c r="C11" i="132"/>
  <c r="B10" i="132"/>
  <c r="A10" i="132"/>
  <c r="O6" i="129" a="1"/>
  <c r="O6" i="129" s="1"/>
  <c r="N6" i="129" a="1"/>
  <c r="N6" i="129" s="1"/>
  <c r="M6" i="129" a="1"/>
  <c r="M6" i="129" s="1"/>
  <c r="P6" i="129" a="1"/>
  <c r="P6" i="129" s="1"/>
  <c r="P6" i="130" a="1"/>
  <c r="P6" i="130" s="1"/>
  <c r="O6" i="130" a="1"/>
  <c r="O6" i="130" s="1"/>
  <c r="N6" i="130" a="1"/>
  <c r="N6" i="130" s="1"/>
  <c r="M6" i="130" a="1"/>
  <c r="M6" i="130" s="1"/>
  <c r="M6" i="128" a="1"/>
  <c r="M6" i="128" s="1"/>
  <c r="P6" i="128" a="1"/>
  <c r="P6" i="128" s="1"/>
  <c r="O6" i="128" a="1"/>
  <c r="O6" i="128" s="1"/>
  <c r="N6" i="128" a="1"/>
  <c r="N6" i="128" s="1"/>
  <c r="M6" i="127" a="1"/>
  <c r="M6" i="127" s="1"/>
  <c r="P6" i="127" a="1"/>
  <c r="P6" i="127" s="1"/>
  <c r="N6" i="127" a="1"/>
  <c r="N6" i="127" s="1"/>
  <c r="K7" i="111"/>
  <c r="I8" i="111"/>
  <c r="J8" i="111"/>
  <c r="H7" i="111"/>
  <c r="T8" i="111" a="1"/>
  <c r="T8" i="111" s="1"/>
  <c r="Y9" i="111"/>
  <c r="B9" i="111"/>
  <c r="C10" i="111"/>
  <c r="Y10" i="111" s="1"/>
  <c r="T26" i="56"/>
  <c r="A9" i="111"/>
  <c r="P26" i="56"/>
  <c r="L28" i="56"/>
  <c r="A30" i="56"/>
  <c r="C31" i="56"/>
  <c r="J10" i="126" a="1"/>
  <c r="K9" i="124" a="1"/>
  <c r="T5" i="135" a="1"/>
  <c r="I10" i="132" a="1"/>
  <c r="L7" i="130" a="1"/>
  <c r="J10" i="129" a="1"/>
  <c r="J10" i="128" a="1"/>
  <c r="H9" i="124" a="1"/>
  <c r="I10" i="124" a="1"/>
  <c r="I10" i="135" a="1"/>
  <c r="H9" i="130" a="1"/>
  <c r="H9" i="135" a="1"/>
  <c r="K9" i="134" a="1"/>
  <c r="L7" i="134" a="1"/>
  <c r="K9" i="129" a="1"/>
  <c r="T5" i="132" a="1"/>
  <c r="L7" i="128" a="1"/>
  <c r="L7" i="135" a="1"/>
  <c r="K9" i="133" a="1"/>
  <c r="K9" i="131" a="1"/>
  <c r="K9" i="135" a="1"/>
  <c r="J9" i="111" a="1"/>
  <c r="L8" i="132" a="1"/>
  <c r="H9" i="126" a="1"/>
  <c r="K9" i="126" a="1"/>
  <c r="J10" i="135" a="1"/>
  <c r="J10" i="130" a="1"/>
  <c r="T5" i="134" a="1"/>
  <c r="J10" i="124" a="1"/>
  <c r="T5" i="131" a="1"/>
  <c r="I10" i="127" a="1"/>
  <c r="H9" i="133" a="1"/>
  <c r="K9" i="132" a="1"/>
  <c r="I10" i="130" a="1"/>
  <c r="T5" i="130" a="1"/>
  <c r="T6" i="127" a="1"/>
  <c r="J10" i="132" a="1"/>
  <c r="J10" i="131" a="1"/>
  <c r="L6" i="111" a="1"/>
  <c r="H9" i="125" a="1"/>
  <c r="L7" i="126" a="1"/>
  <c r="H9" i="127" a="1"/>
  <c r="H9" i="131" a="1"/>
  <c r="L8" i="128" a="1"/>
  <c r="H9" i="134" a="1"/>
  <c r="T5" i="129" a="1"/>
  <c r="H9" i="128" a="1"/>
  <c r="T7" i="132" a="1"/>
  <c r="K9" i="125" a="1"/>
  <c r="I10" i="128" a="1"/>
  <c r="T5" i="128" a="1"/>
  <c r="H9" i="129" a="1"/>
  <c r="I9" i="111" a="1"/>
  <c r="T5" i="125" a="1"/>
  <c r="J10" i="133" a="1"/>
  <c r="I10" i="125" a="1"/>
  <c r="L8" i="127" a="1"/>
  <c r="T5" i="126" a="1"/>
  <c r="K9" i="128" a="1"/>
  <c r="I10" i="134" a="1"/>
  <c r="L8" i="126" a="1"/>
  <c r="I10" i="129" a="1"/>
  <c r="I10" i="131" a="1"/>
  <c r="H8" i="111" a="1"/>
  <c r="K8" i="111" a="1"/>
  <c r="H9" i="132" a="1"/>
  <c r="J10" i="125" a="1"/>
  <c r="L8" i="125" a="1"/>
  <c r="K9" i="130" a="1"/>
  <c r="J10" i="134" a="1"/>
  <c r="K9" i="127" a="1"/>
  <c r="I10" i="133" a="1"/>
  <c r="I10" i="126" a="1"/>
  <c r="J10" i="127" a="1"/>
  <c r="T5" i="127" a="1"/>
  <c r="U37" i="134"/>
  <c r="M6" i="135" l="1" a="1"/>
  <c r="M6" i="135" s="1"/>
  <c r="L7" i="128"/>
  <c r="L6" i="111"/>
  <c r="N6" i="124" a="1"/>
  <c r="N6" i="124" s="1"/>
  <c r="M6" i="124" a="1"/>
  <c r="M6" i="124" s="1"/>
  <c r="P6" i="124" a="1"/>
  <c r="P6" i="124" s="1"/>
  <c r="L7" i="126"/>
  <c r="P7" i="126" s="1" a="1"/>
  <c r="P7" i="126" s="1"/>
  <c r="T5" i="134"/>
  <c r="T5" i="130"/>
  <c r="N6" i="135" a="1"/>
  <c r="N6" i="135" s="1"/>
  <c r="O6" i="135" a="1"/>
  <c r="O6" i="135" s="1"/>
  <c r="M6" i="134" a="1"/>
  <c r="M6" i="134" s="1"/>
  <c r="P6" i="134" a="1"/>
  <c r="P6" i="134" s="1"/>
  <c r="T5" i="132"/>
  <c r="P6" i="125" a="1"/>
  <c r="P6" i="125" s="1"/>
  <c r="N6" i="134" a="1"/>
  <c r="N6" i="134" s="1"/>
  <c r="T5" i="127"/>
  <c r="T6" i="127"/>
  <c r="P5" i="111" a="1"/>
  <c r="P5" i="111" s="1"/>
  <c r="T5" i="131"/>
  <c r="O5" i="111" a="1"/>
  <c r="O5" i="111" s="1"/>
  <c r="N5" i="111" a="1"/>
  <c r="N5" i="111" s="1"/>
  <c r="L7" i="134"/>
  <c r="M7" i="134" s="1" a="1"/>
  <c r="M7" i="134" s="1"/>
  <c r="L7" i="130"/>
  <c r="O7" i="130" s="1" a="1"/>
  <c r="O7" i="130" s="1"/>
  <c r="L7" i="135"/>
  <c r="O7" i="135" s="1" a="1"/>
  <c r="O7" i="135" s="1"/>
  <c r="T7" i="132"/>
  <c r="T5" i="126"/>
  <c r="T5" i="125"/>
  <c r="T5" i="135"/>
  <c r="T5" i="129"/>
  <c r="T5" i="128"/>
  <c r="W37" i="134"/>
  <c r="L8" i="128"/>
  <c r="L8" i="125"/>
  <c r="J10" i="135"/>
  <c r="I10" i="135"/>
  <c r="I10" i="133"/>
  <c r="J10" i="133"/>
  <c r="H9" i="134"/>
  <c r="J10" i="131"/>
  <c r="I10" i="131"/>
  <c r="J10" i="124"/>
  <c r="I10" i="124"/>
  <c r="J10" i="129"/>
  <c r="I10" i="129"/>
  <c r="L8" i="126"/>
  <c r="K9" i="132"/>
  <c r="H9" i="130"/>
  <c r="K9" i="126"/>
  <c r="K9" i="135"/>
  <c r="K9" i="128"/>
  <c r="K9" i="130"/>
  <c r="J10" i="134"/>
  <c r="I10" i="134"/>
  <c r="H9" i="133"/>
  <c r="H9" i="135"/>
  <c r="H9" i="128"/>
  <c r="H9" i="129"/>
  <c r="I10" i="127"/>
  <c r="J10" i="127"/>
  <c r="K9" i="133"/>
  <c r="H9" i="124"/>
  <c r="K9" i="129"/>
  <c r="L8" i="127"/>
  <c r="J10" i="125"/>
  <c r="I10" i="125"/>
  <c r="J10" i="132"/>
  <c r="I10" i="132"/>
  <c r="J10" i="126"/>
  <c r="I10" i="126"/>
  <c r="J10" i="128"/>
  <c r="I10" i="128"/>
  <c r="K9" i="124"/>
  <c r="L8" i="132"/>
  <c r="J10" i="130"/>
  <c r="I10" i="130"/>
  <c r="H9" i="131"/>
  <c r="H9" i="127"/>
  <c r="H9" i="125"/>
  <c r="K9" i="134"/>
  <c r="K9" i="131"/>
  <c r="K9" i="127"/>
  <c r="H9" i="132"/>
  <c r="K9" i="125"/>
  <c r="H9" i="126"/>
  <c r="Y11" i="124"/>
  <c r="B11" i="124"/>
  <c r="A11" i="124"/>
  <c r="C12" i="124"/>
  <c r="Y11" i="135"/>
  <c r="C12" i="135"/>
  <c r="B11" i="135"/>
  <c r="A11" i="135"/>
  <c r="B11" i="126"/>
  <c r="A11" i="126"/>
  <c r="Y11" i="126"/>
  <c r="C12" i="126"/>
  <c r="C12" i="129"/>
  <c r="B11" i="129"/>
  <c r="Y11" i="129"/>
  <c r="A11" i="129"/>
  <c r="O7" i="131" a="1"/>
  <c r="O7" i="131" s="1"/>
  <c r="N7" i="131" a="1"/>
  <c r="N7" i="131" s="1"/>
  <c r="M7" i="131" a="1"/>
  <c r="M7" i="131" s="1"/>
  <c r="P7" i="131" a="1"/>
  <c r="P7" i="131" s="1"/>
  <c r="C12" i="134"/>
  <c r="A11" i="134"/>
  <c r="Y11" i="134"/>
  <c r="B11" i="134"/>
  <c r="N7" i="132" a="1"/>
  <c r="N7" i="132" s="1"/>
  <c r="M7" i="132" a="1"/>
  <c r="M7" i="132" s="1"/>
  <c r="P7" i="132" a="1"/>
  <c r="P7" i="132" s="1"/>
  <c r="O7" i="132" a="1"/>
  <c r="O7" i="132" s="1"/>
  <c r="N7" i="126" a="1"/>
  <c r="N7" i="126" s="1"/>
  <c r="M7" i="126" a="1"/>
  <c r="M7" i="126" s="1"/>
  <c r="Y11" i="125"/>
  <c r="C12" i="125"/>
  <c r="B11" i="125"/>
  <c r="A11" i="125"/>
  <c r="C12" i="127"/>
  <c r="A11" i="127"/>
  <c r="Y11" i="127"/>
  <c r="B11" i="127"/>
  <c r="Y11" i="132"/>
  <c r="C12" i="132"/>
  <c r="B11" i="132"/>
  <c r="A11" i="132"/>
  <c r="M7" i="127" a="1"/>
  <c r="M7" i="127" s="1"/>
  <c r="P7" i="127" a="1"/>
  <c r="P7" i="127" s="1"/>
  <c r="O7" i="127" a="1"/>
  <c r="O7" i="127" s="1"/>
  <c r="N7" i="127" a="1"/>
  <c r="N7" i="127" s="1"/>
  <c r="O7" i="133" a="1"/>
  <c r="O7" i="133" s="1"/>
  <c r="P7" i="133" a="1"/>
  <c r="P7" i="133" s="1"/>
  <c r="N7" i="133" a="1"/>
  <c r="N7" i="133" s="1"/>
  <c r="M7" i="133" a="1"/>
  <c r="M7" i="133" s="1"/>
  <c r="O7" i="129" a="1"/>
  <c r="O7" i="129" s="1"/>
  <c r="P7" i="129" a="1"/>
  <c r="P7" i="129" s="1"/>
  <c r="N7" i="129" a="1"/>
  <c r="N7" i="129" s="1"/>
  <c r="M7" i="129" a="1"/>
  <c r="M7" i="129" s="1"/>
  <c r="B11" i="131"/>
  <c r="A11" i="131"/>
  <c r="Y11" i="131"/>
  <c r="C12" i="131"/>
  <c r="N7" i="124" a="1"/>
  <c r="N7" i="124" s="1"/>
  <c r="M7" i="124" a="1"/>
  <c r="M7" i="124" s="1"/>
  <c r="P7" i="124" a="1"/>
  <c r="P7" i="124" s="1"/>
  <c r="O7" i="124" a="1"/>
  <c r="O7" i="124" s="1"/>
  <c r="A11" i="133"/>
  <c r="B11" i="133"/>
  <c r="C12" i="133"/>
  <c r="Y11" i="133"/>
  <c r="O7" i="128" a="1"/>
  <c r="O7" i="128" s="1"/>
  <c r="N7" i="128" a="1"/>
  <c r="N7" i="128" s="1"/>
  <c r="M7" i="128" a="1"/>
  <c r="M7" i="128" s="1"/>
  <c r="P7" i="128" a="1"/>
  <c r="P7" i="128" s="1"/>
  <c r="B11" i="128"/>
  <c r="A11" i="128"/>
  <c r="C12" i="128"/>
  <c r="Y11" i="128"/>
  <c r="C12" i="130"/>
  <c r="Y11" i="130"/>
  <c r="B11" i="130"/>
  <c r="A11" i="130"/>
  <c r="O7" i="125" a="1"/>
  <c r="O7" i="125" s="1"/>
  <c r="N7" i="125" a="1"/>
  <c r="N7" i="125" s="1"/>
  <c r="M7" i="125" a="1"/>
  <c r="M7" i="125" s="1"/>
  <c r="P7" i="125" a="1"/>
  <c r="P7" i="125" s="1"/>
  <c r="K8" i="111"/>
  <c r="M6" i="111" a="1"/>
  <c r="M6" i="111" s="1"/>
  <c r="N6" i="111" a="1"/>
  <c r="N6" i="111" s="1"/>
  <c r="O6" i="111" a="1"/>
  <c r="O6" i="111" s="1"/>
  <c r="I9" i="111"/>
  <c r="J9" i="111"/>
  <c r="H8" i="111"/>
  <c r="T9" i="111" a="1"/>
  <c r="T9" i="111" s="1"/>
  <c r="P6" i="111" a="1"/>
  <c r="P6" i="111" s="1"/>
  <c r="C11" i="111"/>
  <c r="B11" i="111" s="1"/>
  <c r="A10" i="111"/>
  <c r="B10" i="111"/>
  <c r="O28" i="56"/>
  <c r="N28" i="56"/>
  <c r="M28" i="56"/>
  <c r="P28" i="56"/>
  <c r="L29" i="56"/>
  <c r="A31" i="56"/>
  <c r="C32" i="56"/>
  <c r="I11" i="135" a="1"/>
  <c r="T6" i="125" a="1"/>
  <c r="I11" i="132" a="1"/>
  <c r="L9" i="124" a="1"/>
  <c r="K10" i="124" a="1"/>
  <c r="H10" i="126" a="1"/>
  <c r="T6" i="126" a="1"/>
  <c r="J11" i="129" a="1"/>
  <c r="J11" i="130" a="1"/>
  <c r="J11" i="135" a="1"/>
  <c r="H10" i="134" a="1"/>
  <c r="K10" i="129" a="1"/>
  <c r="I11" i="131" a="1"/>
  <c r="J11" i="127" a="1"/>
  <c r="H10" i="133" a="1"/>
  <c r="K10" i="126" a="1"/>
  <c r="L8" i="134" a="1"/>
  <c r="K10" i="125" a="1"/>
  <c r="K10" i="131" a="1"/>
  <c r="T6" i="124" a="1"/>
  <c r="T6" i="128" a="1"/>
  <c r="H10" i="125" a="1"/>
  <c r="T6" i="135" a="1"/>
  <c r="T6" i="132" a="1"/>
  <c r="H10" i="130" a="1"/>
  <c r="K10" i="133" a="1"/>
  <c r="K9" i="111" a="1"/>
  <c r="K10" i="128" a="1"/>
  <c r="I11" i="128" a="1"/>
  <c r="K10" i="127" a="1"/>
  <c r="L8" i="133" a="1"/>
  <c r="H9" i="111" a="1"/>
  <c r="I11" i="124" a="1"/>
  <c r="J11" i="133" a="1"/>
  <c r="K10" i="132" a="1"/>
  <c r="L8" i="131" a="1"/>
  <c r="I11" i="125" a="1"/>
  <c r="I11" i="127" a="1"/>
  <c r="J10" i="111" a="1"/>
  <c r="J11" i="134" a="1"/>
  <c r="T6" i="131" a="1"/>
  <c r="L9" i="130" a="1"/>
  <c r="L7" i="111" a="1"/>
  <c r="T7" i="131" a="1"/>
  <c r="K10" i="135" a="1"/>
  <c r="I11" i="134" a="1"/>
  <c r="H10" i="135" a="1"/>
  <c r="K10" i="130" a="1"/>
  <c r="I11" i="129" a="1"/>
  <c r="L8" i="130" a="1"/>
  <c r="K10" i="134" a="1"/>
  <c r="J11" i="131" a="1"/>
  <c r="I11" i="126" a="1"/>
  <c r="J11" i="132" a="1"/>
  <c r="H10" i="131" a="1"/>
  <c r="I10" i="111" a="1"/>
  <c r="H10" i="127" a="1"/>
  <c r="J11" i="126" a="1"/>
  <c r="H10" i="129" a="1"/>
  <c r="T6" i="133" a="1"/>
  <c r="J11" i="128" a="1"/>
  <c r="L8" i="124" a="1"/>
  <c r="I11" i="130" a="1"/>
  <c r="I11" i="133" a="1"/>
  <c r="T7" i="135" a="1"/>
  <c r="J11" i="125" a="1"/>
  <c r="T6" i="134" a="1"/>
  <c r="T6" i="129" a="1"/>
  <c r="J11" i="124" a="1"/>
  <c r="H10" i="128" a="1"/>
  <c r="L8" i="129" a="1"/>
  <c r="H10" i="132" a="1"/>
  <c r="L8" i="135" a="1"/>
  <c r="H10" i="124" a="1"/>
  <c r="U37" i="135"/>
  <c r="O7" i="126" l="1" a="1"/>
  <c r="O7" i="126" s="1"/>
  <c r="L7" i="111"/>
  <c r="N7" i="130" a="1"/>
  <c r="N7" i="130" s="1"/>
  <c r="M7" i="130" a="1"/>
  <c r="M7" i="130" s="1"/>
  <c r="T6" i="135"/>
  <c r="L8" i="135"/>
  <c r="P8" i="135" s="1" a="1"/>
  <c r="P8" i="135" s="1"/>
  <c r="N7" i="134" a="1"/>
  <c r="N7" i="134" s="1"/>
  <c r="P7" i="134" a="1"/>
  <c r="P7" i="134" s="1"/>
  <c r="L8" i="133"/>
  <c r="N8" i="133" s="1" a="1"/>
  <c r="N8" i="133" s="1"/>
  <c r="P7" i="130" a="1"/>
  <c r="P7" i="130" s="1"/>
  <c r="M7" i="135" a="1"/>
  <c r="M7" i="135" s="1"/>
  <c r="P7" i="135" a="1"/>
  <c r="P7" i="135" s="1"/>
  <c r="N7" i="135" a="1"/>
  <c r="N7" i="135" s="1"/>
  <c r="L8" i="130"/>
  <c r="P8" i="130" s="1" a="1"/>
  <c r="P8" i="130" s="1"/>
  <c r="L8" i="124"/>
  <c r="M8" i="124" s="1" a="1"/>
  <c r="M8" i="124" s="1"/>
  <c r="L8" i="129"/>
  <c r="O8" i="129" s="1" a="1"/>
  <c r="O8" i="129" s="1"/>
  <c r="T6" i="125"/>
  <c r="T6" i="132"/>
  <c r="T6" i="129"/>
  <c r="O7" i="134" a="1"/>
  <c r="O7" i="134" s="1"/>
  <c r="L8" i="134"/>
  <c r="P8" i="134" s="1" a="1"/>
  <c r="P8" i="134" s="1"/>
  <c r="L8" i="131"/>
  <c r="O8" i="131" s="1" a="1"/>
  <c r="O8" i="131" s="1"/>
  <c r="T7" i="135"/>
  <c r="T7" i="131"/>
  <c r="T6" i="131"/>
  <c r="T6" i="128"/>
  <c r="T6" i="124"/>
  <c r="T6" i="133"/>
  <c r="T6" i="134"/>
  <c r="W37" i="135"/>
  <c r="T6" i="126"/>
  <c r="L9" i="124"/>
  <c r="J11" i="128"/>
  <c r="I11" i="128"/>
  <c r="J11" i="133"/>
  <c r="I11" i="133"/>
  <c r="J11" i="130"/>
  <c r="I11" i="130"/>
  <c r="L9" i="130"/>
  <c r="K10" i="130"/>
  <c r="H10" i="132"/>
  <c r="K10" i="127"/>
  <c r="K10" i="129"/>
  <c r="H10" i="124"/>
  <c r="H10" i="135"/>
  <c r="J11" i="134"/>
  <c r="I11" i="134"/>
  <c r="I11" i="124"/>
  <c r="J11" i="124"/>
  <c r="J11" i="131"/>
  <c r="I11" i="131"/>
  <c r="K10" i="124"/>
  <c r="K10" i="135"/>
  <c r="K10" i="132"/>
  <c r="H10" i="127"/>
  <c r="H10" i="125"/>
  <c r="J11" i="125"/>
  <c r="I11" i="125"/>
  <c r="K10" i="125"/>
  <c r="H10" i="131"/>
  <c r="I11" i="127"/>
  <c r="J11" i="127"/>
  <c r="J11" i="135"/>
  <c r="I11" i="135"/>
  <c r="H10" i="128"/>
  <c r="K10" i="131"/>
  <c r="J11" i="132"/>
  <c r="I11" i="132"/>
  <c r="J11" i="126"/>
  <c r="I11" i="126"/>
  <c r="K10" i="128"/>
  <c r="H10" i="126"/>
  <c r="H10" i="134"/>
  <c r="K10" i="133"/>
  <c r="J11" i="129"/>
  <c r="I11" i="129"/>
  <c r="H10" i="130"/>
  <c r="K10" i="126"/>
  <c r="K10" i="134"/>
  <c r="H10" i="129"/>
  <c r="H10" i="133"/>
  <c r="B12" i="131"/>
  <c r="A12" i="131"/>
  <c r="Y12" i="131"/>
  <c r="C13" i="131"/>
  <c r="C13" i="127"/>
  <c r="B12" i="127"/>
  <c r="A12" i="127"/>
  <c r="Y12" i="127"/>
  <c r="C13" i="129"/>
  <c r="B12" i="129"/>
  <c r="Y12" i="129"/>
  <c r="A12" i="129"/>
  <c r="Y12" i="132"/>
  <c r="C13" i="132"/>
  <c r="B12" i="132"/>
  <c r="A12" i="132"/>
  <c r="Y12" i="130"/>
  <c r="B12" i="130"/>
  <c r="A12" i="130"/>
  <c r="C13" i="130"/>
  <c r="M8" i="135" a="1"/>
  <c r="M8" i="135" s="1"/>
  <c r="O8" i="133" a="1"/>
  <c r="O8" i="133" s="1"/>
  <c r="N8" i="132" a="1"/>
  <c r="N8" i="132" s="1"/>
  <c r="M8" i="132" a="1"/>
  <c r="M8" i="132" s="1"/>
  <c r="P8" i="132" a="1"/>
  <c r="P8" i="132" s="1"/>
  <c r="O8" i="132" a="1"/>
  <c r="O8" i="132" s="1"/>
  <c r="B12" i="126"/>
  <c r="A12" i="126"/>
  <c r="Y12" i="126"/>
  <c r="C13" i="126"/>
  <c r="Y12" i="128"/>
  <c r="B12" i="128"/>
  <c r="A12" i="128"/>
  <c r="C13" i="128"/>
  <c r="Y12" i="125"/>
  <c r="B12" i="125"/>
  <c r="A12" i="125"/>
  <c r="C13" i="125"/>
  <c r="C13" i="134"/>
  <c r="Y12" i="134"/>
  <c r="B12" i="134"/>
  <c r="A12" i="134"/>
  <c r="M8" i="127" a="1"/>
  <c r="M8" i="127" s="1"/>
  <c r="O8" i="127" a="1"/>
  <c r="O8" i="127" s="1"/>
  <c r="N8" i="127" a="1"/>
  <c r="N8" i="127" s="1"/>
  <c r="P8" i="127" a="1"/>
  <c r="P8" i="127" s="1"/>
  <c r="Y12" i="135"/>
  <c r="C13" i="135"/>
  <c r="B12" i="135"/>
  <c r="A12" i="135"/>
  <c r="N8" i="125" a="1"/>
  <c r="N8" i="125" s="1"/>
  <c r="M8" i="125" a="1"/>
  <c r="M8" i="125" s="1"/>
  <c r="P8" i="125" a="1"/>
  <c r="P8" i="125" s="1"/>
  <c r="O8" i="125" a="1"/>
  <c r="O8" i="125" s="1"/>
  <c r="N8" i="130" a="1"/>
  <c r="N8" i="130" s="1"/>
  <c r="A12" i="133"/>
  <c r="C13" i="133"/>
  <c r="Y12" i="133"/>
  <c r="B12" i="133"/>
  <c r="O8" i="126" a="1"/>
  <c r="O8" i="126" s="1"/>
  <c r="N8" i="126" a="1"/>
  <c r="N8" i="126" s="1"/>
  <c r="M8" i="126" a="1"/>
  <c r="M8" i="126" s="1"/>
  <c r="P8" i="126" a="1"/>
  <c r="P8" i="126" s="1"/>
  <c r="C13" i="124"/>
  <c r="Y12" i="124"/>
  <c r="A12" i="124"/>
  <c r="B12" i="124"/>
  <c r="P8" i="128" a="1"/>
  <c r="P8" i="128" s="1"/>
  <c r="O8" i="128" a="1"/>
  <c r="O8" i="128" s="1"/>
  <c r="N8" i="128" a="1"/>
  <c r="N8" i="128" s="1"/>
  <c r="M8" i="128" a="1"/>
  <c r="M8" i="128" s="1"/>
  <c r="K9" i="111"/>
  <c r="M7" i="111" a="1"/>
  <c r="M7" i="111" s="1"/>
  <c r="N7" i="111" a="1"/>
  <c r="N7" i="111" s="1"/>
  <c r="O7" i="111" a="1"/>
  <c r="O7" i="111" s="1"/>
  <c r="P7" i="111" a="1"/>
  <c r="P7" i="111" s="1"/>
  <c r="I10" i="111"/>
  <c r="J10" i="111"/>
  <c r="H9" i="111"/>
  <c r="T11" i="111" a="1"/>
  <c r="T11" i="111" s="1"/>
  <c r="T10" i="111" a="1"/>
  <c r="T10" i="111" s="1"/>
  <c r="C12" i="111"/>
  <c r="B12" i="111" s="1"/>
  <c r="A11" i="111"/>
  <c r="Y11" i="111"/>
  <c r="O29" i="56"/>
  <c r="N29" i="56"/>
  <c r="M29" i="56"/>
  <c r="T28" i="56"/>
  <c r="P29" i="56"/>
  <c r="C33" i="56"/>
  <c r="A32" i="56"/>
  <c r="L9" i="125" a="1"/>
  <c r="T7" i="126" a="1"/>
  <c r="K11" i="125" a="1"/>
  <c r="L10" i="130" a="1"/>
  <c r="K11" i="124" a="1"/>
  <c r="L9" i="133" a="1"/>
  <c r="I12" i="127" a="1"/>
  <c r="H11" i="124" a="1"/>
  <c r="L9" i="131" a="1"/>
  <c r="H11" i="133" a="1"/>
  <c r="K11" i="127" a="1"/>
  <c r="H11" i="129" a="1"/>
  <c r="J12" i="132" a="1"/>
  <c r="H11" i="131" a="1"/>
  <c r="K11" i="132" a="1"/>
  <c r="H11" i="127" a="1"/>
  <c r="J12" i="130" a="1"/>
  <c r="L9" i="135" a="1"/>
  <c r="H10" i="111" a="1"/>
  <c r="I12" i="131" a="1"/>
  <c r="T7" i="124" a="1"/>
  <c r="L10" i="133" a="1"/>
  <c r="L9" i="126" a="1"/>
  <c r="I11" i="111" a="1"/>
  <c r="K11" i="128" a="1"/>
  <c r="I12" i="129" a="1"/>
  <c r="L10" i="129" a="1"/>
  <c r="K10" i="111" a="1"/>
  <c r="K11" i="130" a="1"/>
  <c r="I12" i="130" a="1"/>
  <c r="T7" i="127" a="1"/>
  <c r="H11" i="134" a="1"/>
  <c r="J12" i="125" a="1"/>
  <c r="K11" i="133" a="1"/>
  <c r="K11" i="129" a="1"/>
  <c r="H11" i="125" a="1"/>
  <c r="T7" i="130" a="1"/>
  <c r="I12" i="125" a="1"/>
  <c r="J12" i="135" a="1"/>
  <c r="K11" i="131" a="1"/>
  <c r="I12" i="126" a="1"/>
  <c r="T7" i="129" a="1"/>
  <c r="J12" i="124" a="1"/>
  <c r="H11" i="130" a="1"/>
  <c r="I12" i="128" a="1"/>
  <c r="J12" i="126" a="1"/>
  <c r="J12" i="131" a="1"/>
  <c r="J12" i="128" a="1"/>
  <c r="H11" i="126" a="1"/>
  <c r="K11" i="134" a="1"/>
  <c r="T7" i="133" a="1"/>
  <c r="L9" i="128" a="1"/>
  <c r="H11" i="135" a="1"/>
  <c r="L9" i="132" a="1"/>
  <c r="H11" i="132" a="1"/>
  <c r="J12" i="129" a="1"/>
  <c r="T7" i="125" a="1"/>
  <c r="L8" i="111" a="1"/>
  <c r="K11" i="126" a="1"/>
  <c r="J12" i="134" a="1"/>
  <c r="L9" i="129" a="1"/>
  <c r="T7" i="128" a="1"/>
  <c r="H11" i="128" a="1"/>
  <c r="L9" i="127" a="1"/>
  <c r="I12" i="132" a="1"/>
  <c r="J12" i="133" a="1"/>
  <c r="L10" i="132" a="1"/>
  <c r="I12" i="133" a="1"/>
  <c r="I12" i="134" a="1"/>
  <c r="J11" i="111" a="1"/>
  <c r="I12" i="135" a="1"/>
  <c r="J12" i="127" a="1"/>
  <c r="K11" i="135" a="1"/>
  <c r="L9" i="134" a="1"/>
  <c r="T7" i="134" a="1"/>
  <c r="I12" i="124" a="1"/>
  <c r="M8" i="133" l="1" a="1"/>
  <c r="M8" i="133" s="1"/>
  <c r="P8" i="133" a="1"/>
  <c r="P8" i="133" s="1"/>
  <c r="L9" i="126"/>
  <c r="M8" i="130" a="1"/>
  <c r="M8" i="130" s="1"/>
  <c r="O8" i="135" a="1"/>
  <c r="O8" i="135" s="1"/>
  <c r="N8" i="135" a="1"/>
  <c r="N8" i="135" s="1"/>
  <c r="O8" i="130" a="1"/>
  <c r="O8" i="130" s="1"/>
  <c r="L9" i="127"/>
  <c r="P9" i="127" s="1" a="1"/>
  <c r="P9" i="127" s="1"/>
  <c r="M8" i="134" a="1"/>
  <c r="M8" i="134" s="1"/>
  <c r="N8" i="134" a="1"/>
  <c r="N8" i="134" s="1"/>
  <c r="O8" i="134" a="1"/>
  <c r="O8" i="134" s="1"/>
  <c r="P8" i="131" a="1"/>
  <c r="P8" i="131" s="1"/>
  <c r="L9" i="128"/>
  <c r="L9" i="131"/>
  <c r="O9" i="131" s="1" a="1"/>
  <c r="O9" i="131" s="1"/>
  <c r="N8" i="124" a="1"/>
  <c r="N8" i="124" s="1"/>
  <c r="O8" i="124" a="1"/>
  <c r="O8" i="124" s="1"/>
  <c r="P8" i="124" a="1"/>
  <c r="P8" i="124" s="1"/>
  <c r="P8" i="129" a="1"/>
  <c r="P8" i="129" s="1"/>
  <c r="M8" i="129" a="1"/>
  <c r="M8" i="129" s="1"/>
  <c r="N8" i="129" a="1"/>
  <c r="N8" i="129" s="1"/>
  <c r="L9" i="129"/>
  <c r="O9" i="129" s="1" a="1"/>
  <c r="O9" i="129" s="1"/>
  <c r="T7" i="129"/>
  <c r="L9" i="134"/>
  <c r="M9" i="134" s="1" a="1"/>
  <c r="M9" i="134" s="1"/>
  <c r="L9" i="132"/>
  <c r="P9" i="132" s="1" a="1"/>
  <c r="P9" i="132" s="1"/>
  <c r="L9" i="133"/>
  <c r="M9" i="133" s="1" a="1"/>
  <c r="M9" i="133" s="1"/>
  <c r="M8" i="131" a="1"/>
  <c r="M8" i="131" s="1"/>
  <c r="N8" i="131" a="1"/>
  <c r="N8" i="131" s="1"/>
  <c r="L9" i="135"/>
  <c r="N9" i="135" s="1" a="1"/>
  <c r="N9" i="135" s="1"/>
  <c r="L9" i="125"/>
  <c r="N9" i="125" s="1" a="1"/>
  <c r="N9" i="125" s="1"/>
  <c r="T7" i="126"/>
  <c r="T7" i="124"/>
  <c r="L8" i="111"/>
  <c r="M8" i="111" s="1" a="1"/>
  <c r="M8" i="111" s="1"/>
  <c r="T7" i="125"/>
  <c r="T7" i="127"/>
  <c r="T7" i="128"/>
  <c r="T7" i="134"/>
  <c r="T7" i="130"/>
  <c r="T7" i="133"/>
  <c r="L10" i="133"/>
  <c r="L10" i="132"/>
  <c r="J12" i="124"/>
  <c r="I12" i="124"/>
  <c r="K11" i="135"/>
  <c r="K11" i="124"/>
  <c r="H11" i="128"/>
  <c r="I12" i="133"/>
  <c r="J12" i="133"/>
  <c r="J12" i="125"/>
  <c r="I12" i="125"/>
  <c r="J12" i="132"/>
  <c r="I12" i="132"/>
  <c r="J12" i="129"/>
  <c r="I12" i="129"/>
  <c r="H11" i="126"/>
  <c r="K11" i="127"/>
  <c r="H11" i="124"/>
  <c r="K11" i="128"/>
  <c r="J12" i="131"/>
  <c r="I12" i="131"/>
  <c r="H11" i="129"/>
  <c r="K11" i="126"/>
  <c r="H11" i="127"/>
  <c r="H11" i="134"/>
  <c r="L10" i="129"/>
  <c r="J12" i="126"/>
  <c r="I12" i="126"/>
  <c r="K11" i="129"/>
  <c r="H11" i="132"/>
  <c r="K11" i="134"/>
  <c r="L10" i="130"/>
  <c r="J12" i="135"/>
  <c r="I12" i="135"/>
  <c r="K11" i="132"/>
  <c r="J12" i="134"/>
  <c r="I12" i="134"/>
  <c r="H11" i="130"/>
  <c r="J12" i="130"/>
  <c r="I12" i="130"/>
  <c r="I12" i="127"/>
  <c r="J12" i="127"/>
  <c r="K11" i="130"/>
  <c r="J12" i="128"/>
  <c r="I12" i="128"/>
  <c r="H11" i="125"/>
  <c r="H11" i="131"/>
  <c r="H11" i="133"/>
  <c r="H11" i="135"/>
  <c r="K11" i="125"/>
  <c r="K11" i="131"/>
  <c r="K11" i="133"/>
  <c r="Y13" i="125"/>
  <c r="A13" i="125"/>
  <c r="C14" i="125"/>
  <c r="B13" i="125"/>
  <c r="Y13" i="132"/>
  <c r="C14" i="132"/>
  <c r="B13" i="132"/>
  <c r="A13" i="132"/>
  <c r="C14" i="129"/>
  <c r="B13" i="129"/>
  <c r="Y13" i="129"/>
  <c r="A13" i="129"/>
  <c r="Y13" i="130"/>
  <c r="B13" i="130"/>
  <c r="A13" i="130"/>
  <c r="C14" i="130"/>
  <c r="P9" i="130" a="1"/>
  <c r="P9" i="130" s="1"/>
  <c r="O9" i="130" a="1"/>
  <c r="O9" i="130" s="1"/>
  <c r="M9" i="130" a="1"/>
  <c r="M9" i="130" s="1"/>
  <c r="N9" i="130" a="1"/>
  <c r="N9" i="130" s="1"/>
  <c r="O9" i="126" a="1"/>
  <c r="O9" i="126" s="1"/>
  <c r="N9" i="126" a="1"/>
  <c r="N9" i="126" s="1"/>
  <c r="M9" i="126" a="1"/>
  <c r="M9" i="126" s="1"/>
  <c r="P9" i="126" a="1"/>
  <c r="P9" i="126" s="1"/>
  <c r="A13" i="133"/>
  <c r="Y13" i="133"/>
  <c r="B13" i="133"/>
  <c r="C14" i="133"/>
  <c r="N9" i="128" a="1"/>
  <c r="N9" i="128" s="1"/>
  <c r="M9" i="128" a="1"/>
  <c r="M9" i="128" s="1"/>
  <c r="P9" i="128" a="1"/>
  <c r="P9" i="128" s="1"/>
  <c r="O9" i="128" a="1"/>
  <c r="O9" i="128" s="1"/>
  <c r="B13" i="124"/>
  <c r="A13" i="124"/>
  <c r="C14" i="124"/>
  <c r="Y13" i="124"/>
  <c r="B13" i="128"/>
  <c r="A13" i="128"/>
  <c r="C14" i="128"/>
  <c r="Y13" i="128"/>
  <c r="Y13" i="135"/>
  <c r="C14" i="135"/>
  <c r="B13" i="135"/>
  <c r="A13" i="135"/>
  <c r="M9" i="129" a="1"/>
  <c r="M9" i="129" s="1"/>
  <c r="C14" i="134"/>
  <c r="Y13" i="134"/>
  <c r="B13" i="134"/>
  <c r="A13" i="134"/>
  <c r="C14" i="127"/>
  <c r="B13" i="127"/>
  <c r="A13" i="127"/>
  <c r="Y13" i="127"/>
  <c r="N9" i="124" a="1"/>
  <c r="N9" i="124" s="1"/>
  <c r="M9" i="124" a="1"/>
  <c r="M9" i="124" s="1"/>
  <c r="P9" i="124" a="1"/>
  <c r="P9" i="124" s="1"/>
  <c r="O9" i="124" a="1"/>
  <c r="O9" i="124" s="1"/>
  <c r="C14" i="131"/>
  <c r="B13" i="131"/>
  <c r="A13" i="131"/>
  <c r="Y13" i="131"/>
  <c r="C14" i="126"/>
  <c r="B13" i="126"/>
  <c r="A13" i="126"/>
  <c r="Y13" i="126"/>
  <c r="K10" i="111"/>
  <c r="J11" i="111"/>
  <c r="I11" i="111"/>
  <c r="H10" i="111"/>
  <c r="T12" i="111" a="1"/>
  <c r="T12" i="111" s="1"/>
  <c r="A12" i="111"/>
  <c r="C13" i="111"/>
  <c r="B13" i="111" s="1"/>
  <c r="Y12" i="111"/>
  <c r="T29" i="56"/>
  <c r="C34" i="56"/>
  <c r="A33" i="56"/>
  <c r="I13" i="127" a="1"/>
  <c r="K12" i="135" a="1"/>
  <c r="H12" i="133" a="1"/>
  <c r="K12" i="126" a="1"/>
  <c r="J13" i="124" a="1"/>
  <c r="H12" i="127" a="1"/>
  <c r="H11" i="111" a="1"/>
  <c r="K12" i="134" a="1"/>
  <c r="K12" i="129" a="1"/>
  <c r="T8" i="133" a="1"/>
  <c r="T8" i="126" a="1"/>
  <c r="L11" i="128" a="1"/>
  <c r="H12" i="128" a="1"/>
  <c r="J13" i="129" a="1"/>
  <c r="H12" i="126" a="1"/>
  <c r="J13" i="130" a="1"/>
  <c r="L10" i="124" a="1"/>
  <c r="H12" i="130" a="1"/>
  <c r="J13" i="127" a="1"/>
  <c r="T9" i="126" a="1"/>
  <c r="I13" i="126" a="1"/>
  <c r="J13" i="131" a="1"/>
  <c r="K12" i="133" a="1"/>
  <c r="K12" i="131" a="1"/>
  <c r="J13" i="135" a="1"/>
  <c r="H12" i="132" a="1"/>
  <c r="L10" i="135" a="1"/>
  <c r="L10" i="131" a="1"/>
  <c r="L10" i="127" a="1"/>
  <c r="I13" i="129" a="1"/>
  <c r="J13" i="125" a="1"/>
  <c r="T8" i="135" a="1"/>
  <c r="L9" i="111" a="1"/>
  <c r="I13" i="135" a="1"/>
  <c r="I13" i="132" a="1"/>
  <c r="I13" i="124" a="1"/>
  <c r="T8" i="127" a="1"/>
  <c r="H12" i="129" a="1"/>
  <c r="K12" i="127" a="1"/>
  <c r="T8" i="134" a="1"/>
  <c r="K12" i="125" a="1"/>
  <c r="T8" i="129" a="1"/>
  <c r="T8" i="128" a="1"/>
  <c r="J13" i="133" a="1"/>
  <c r="K12" i="132" a="1"/>
  <c r="H12" i="124" a="1"/>
  <c r="L11" i="131" a="1"/>
  <c r="L10" i="134" a="1"/>
  <c r="K12" i="124" a="1"/>
  <c r="L11" i="124" a="1"/>
  <c r="I13" i="134" a="1"/>
  <c r="K12" i="128" a="1"/>
  <c r="H12" i="125" a="1"/>
  <c r="J13" i="128" a="1"/>
  <c r="I13" i="130" a="1"/>
  <c r="H12" i="135" a="1"/>
  <c r="L10" i="125" a="1"/>
  <c r="T8" i="125" a="1"/>
  <c r="J12" i="111" a="1"/>
  <c r="H12" i="134" a="1"/>
  <c r="K12" i="130" a="1"/>
  <c r="T8" i="131" a="1"/>
  <c r="L10" i="126" a="1"/>
  <c r="I13" i="128" a="1"/>
  <c r="L10" i="128" a="1"/>
  <c r="T9" i="125" a="1"/>
  <c r="I13" i="133" a="1"/>
  <c r="H12" i="131" a="1"/>
  <c r="K11" i="111" a="1"/>
  <c r="T8" i="132" a="1"/>
  <c r="I13" i="125" a="1"/>
  <c r="J13" i="134" a="1"/>
  <c r="J13" i="126" a="1"/>
  <c r="I13" i="131" a="1"/>
  <c r="I12" i="111" a="1"/>
  <c r="J13" i="132" a="1"/>
  <c r="T8" i="124" a="1"/>
  <c r="L11" i="135" a="1"/>
  <c r="T8" i="130" a="1"/>
  <c r="O9" i="127" l="1" a="1"/>
  <c r="O9" i="127" s="1"/>
  <c r="N9" i="127" a="1"/>
  <c r="N9" i="127" s="1"/>
  <c r="M9" i="127" a="1"/>
  <c r="M9" i="127" s="1"/>
  <c r="T9" i="126"/>
  <c r="O9" i="133" a="1"/>
  <c r="O9" i="133" s="1"/>
  <c r="N9" i="133" a="1"/>
  <c r="N9" i="133" s="1"/>
  <c r="P9" i="133" a="1"/>
  <c r="P9" i="133" s="1"/>
  <c r="P9" i="131" a="1"/>
  <c r="P9" i="131" s="1"/>
  <c r="M9" i="131" a="1"/>
  <c r="M9" i="131" s="1"/>
  <c r="N9" i="131" a="1"/>
  <c r="N9" i="131" s="1"/>
  <c r="O9" i="134" a="1"/>
  <c r="O9" i="134" s="1"/>
  <c r="P9" i="134" a="1"/>
  <c r="P9" i="134" s="1"/>
  <c r="N9" i="134" a="1"/>
  <c r="N9" i="134" s="1"/>
  <c r="T8" i="134"/>
  <c r="N9" i="129" a="1"/>
  <c r="N9" i="129" s="1"/>
  <c r="P9" i="129" a="1"/>
  <c r="P9" i="129" s="1"/>
  <c r="P9" i="135" a="1"/>
  <c r="P9" i="135" s="1"/>
  <c r="L10" i="131"/>
  <c r="N10" i="131" s="1" a="1"/>
  <c r="N10" i="131" s="1"/>
  <c r="M9" i="132" a="1"/>
  <c r="M9" i="132" s="1"/>
  <c r="O9" i="132" a="1"/>
  <c r="O9" i="132" s="1"/>
  <c r="N9" i="132" a="1"/>
  <c r="N9" i="132" s="1"/>
  <c r="N8" i="111" a="1"/>
  <c r="N8" i="111" s="1"/>
  <c r="P8" i="111" a="1"/>
  <c r="P8" i="111" s="1"/>
  <c r="O8" i="111" a="1"/>
  <c r="O8" i="111" s="1"/>
  <c r="L9" i="111"/>
  <c r="P9" i="111" s="1" a="1"/>
  <c r="P9" i="111" s="1"/>
  <c r="T8" i="129"/>
  <c r="T8" i="124"/>
  <c r="T8" i="125"/>
  <c r="L10" i="124"/>
  <c r="N10" i="124" s="1" a="1"/>
  <c r="N10" i="124" s="1"/>
  <c r="T8" i="126"/>
  <c r="L10" i="135"/>
  <c r="N10" i="135" s="1" a="1"/>
  <c r="N10" i="135" s="1"/>
  <c r="L10" i="134"/>
  <c r="N10" i="134" s="1" a="1"/>
  <c r="N10" i="134" s="1"/>
  <c r="M9" i="125" a="1"/>
  <c r="M9" i="125" s="1"/>
  <c r="O9" i="125" a="1"/>
  <c r="O9" i="125" s="1"/>
  <c r="P9" i="125" a="1"/>
  <c r="P9" i="125" s="1"/>
  <c r="T8" i="131"/>
  <c r="L10" i="128"/>
  <c r="M10" i="128" s="1" a="1"/>
  <c r="M10" i="128" s="1"/>
  <c r="L10" i="126"/>
  <c r="O10" i="126" s="1" a="1"/>
  <c r="O10" i="126" s="1"/>
  <c r="L10" i="127"/>
  <c r="M10" i="127" s="1" a="1"/>
  <c r="M10" i="127" s="1"/>
  <c r="T9" i="125"/>
  <c r="L10" i="125"/>
  <c r="O10" i="125" s="1" a="1"/>
  <c r="O10" i="125" s="1"/>
  <c r="O9" i="135" a="1"/>
  <c r="O9" i="135" s="1"/>
  <c r="M9" i="135" a="1"/>
  <c r="M9" i="135" s="1"/>
  <c r="T8" i="127"/>
  <c r="T8" i="135"/>
  <c r="T8" i="132"/>
  <c r="T8" i="133"/>
  <c r="T8" i="128"/>
  <c r="T8" i="130"/>
  <c r="L11" i="124"/>
  <c r="I13" i="127"/>
  <c r="J13" i="127"/>
  <c r="J13" i="124"/>
  <c r="I13" i="124"/>
  <c r="J13" i="125"/>
  <c r="I13" i="125"/>
  <c r="K12" i="127"/>
  <c r="H12" i="126"/>
  <c r="K12" i="131"/>
  <c r="H12" i="132"/>
  <c r="J13" i="132"/>
  <c r="I13" i="132"/>
  <c r="H12" i="127"/>
  <c r="H12" i="135"/>
  <c r="K12" i="126"/>
  <c r="K12" i="132"/>
  <c r="H12" i="124"/>
  <c r="L11" i="131"/>
  <c r="K12" i="135"/>
  <c r="H12" i="125"/>
  <c r="K12" i="124"/>
  <c r="H12" i="130"/>
  <c r="J13" i="128"/>
  <c r="I13" i="128"/>
  <c r="K12" i="130"/>
  <c r="K12" i="125"/>
  <c r="J13" i="130"/>
  <c r="I13" i="130"/>
  <c r="J13" i="134"/>
  <c r="I13" i="134"/>
  <c r="J13" i="131"/>
  <c r="I13" i="131"/>
  <c r="J13" i="133"/>
  <c r="I13" i="133"/>
  <c r="L11" i="135"/>
  <c r="J13" i="135"/>
  <c r="I13" i="135"/>
  <c r="K12" i="133"/>
  <c r="H12" i="128"/>
  <c r="H12" i="133"/>
  <c r="J13" i="129"/>
  <c r="I13" i="129"/>
  <c r="L11" i="128"/>
  <c r="K12" i="128"/>
  <c r="K12" i="134"/>
  <c r="H12" i="129"/>
  <c r="H12" i="134"/>
  <c r="J13" i="126"/>
  <c r="I13" i="126"/>
  <c r="H12" i="131"/>
  <c r="K12" i="129"/>
  <c r="C15" i="126"/>
  <c r="B14" i="126"/>
  <c r="A14" i="126"/>
  <c r="Y14" i="126"/>
  <c r="C15" i="127"/>
  <c r="B14" i="127"/>
  <c r="A14" i="127"/>
  <c r="Y14" i="127"/>
  <c r="C15" i="130"/>
  <c r="B14" i="130"/>
  <c r="A14" i="130"/>
  <c r="Y14" i="130"/>
  <c r="Y14" i="125"/>
  <c r="C15" i="125"/>
  <c r="B14" i="125"/>
  <c r="A14" i="125"/>
  <c r="A14" i="133"/>
  <c r="C15" i="133"/>
  <c r="Y14" i="133"/>
  <c r="B14" i="133"/>
  <c r="Y14" i="128"/>
  <c r="B14" i="128"/>
  <c r="A14" i="128"/>
  <c r="C15" i="128"/>
  <c r="Y14" i="132"/>
  <c r="C15" i="132"/>
  <c r="B14" i="132"/>
  <c r="A14" i="132"/>
  <c r="P10" i="130" a="1"/>
  <c r="P10" i="130" s="1"/>
  <c r="O10" i="130" a="1"/>
  <c r="O10" i="130" s="1"/>
  <c r="N10" i="130" a="1"/>
  <c r="N10" i="130" s="1"/>
  <c r="M10" i="130" a="1"/>
  <c r="M10" i="130" s="1"/>
  <c r="N10" i="132" a="1"/>
  <c r="N10" i="132" s="1"/>
  <c r="M10" i="132" a="1"/>
  <c r="M10" i="132" s="1"/>
  <c r="P10" i="132" a="1"/>
  <c r="P10" i="132" s="1"/>
  <c r="O10" i="132" a="1"/>
  <c r="O10" i="132" s="1"/>
  <c r="O10" i="129" a="1"/>
  <c r="O10" i="129" s="1"/>
  <c r="N10" i="129" a="1"/>
  <c r="N10" i="129" s="1"/>
  <c r="M10" i="129" a="1"/>
  <c r="M10" i="129" s="1"/>
  <c r="P10" i="129" a="1"/>
  <c r="P10" i="129" s="1"/>
  <c r="C15" i="131"/>
  <c r="B14" i="131"/>
  <c r="A14" i="131"/>
  <c r="Y14" i="131"/>
  <c r="C15" i="134"/>
  <c r="Y14" i="134"/>
  <c r="B14" i="134"/>
  <c r="A14" i="134"/>
  <c r="O10" i="128" a="1"/>
  <c r="O10" i="128" s="1"/>
  <c r="P10" i="134" a="1"/>
  <c r="P10" i="134" s="1"/>
  <c r="O10" i="134" a="1"/>
  <c r="O10" i="134" s="1"/>
  <c r="P10" i="124" a="1"/>
  <c r="P10" i="124" s="1"/>
  <c r="Y14" i="135"/>
  <c r="C15" i="135"/>
  <c r="B14" i="135"/>
  <c r="A14" i="135"/>
  <c r="Y14" i="124"/>
  <c r="B14" i="124"/>
  <c r="A14" i="124"/>
  <c r="C15" i="124"/>
  <c r="C15" i="129"/>
  <c r="B14" i="129"/>
  <c r="A14" i="129"/>
  <c r="Y14" i="129"/>
  <c r="P10" i="133" a="1"/>
  <c r="P10" i="133" s="1"/>
  <c r="O10" i="133" a="1"/>
  <c r="O10" i="133" s="1"/>
  <c r="N10" i="133" a="1"/>
  <c r="N10" i="133" s="1"/>
  <c r="M10" i="133" a="1"/>
  <c r="M10" i="133" s="1"/>
  <c r="K11" i="111"/>
  <c r="J12" i="111"/>
  <c r="I12" i="111"/>
  <c r="H11" i="111"/>
  <c r="T13" i="111" a="1"/>
  <c r="T13" i="111" s="1"/>
  <c r="C14" i="111"/>
  <c r="B14" i="111" s="1"/>
  <c r="A13" i="111"/>
  <c r="Y13" i="111"/>
  <c r="L32" i="56"/>
  <c r="A34" i="56"/>
  <c r="C35" i="56"/>
  <c r="T9" i="134" a="1"/>
  <c r="T9" i="132" a="1"/>
  <c r="L12" i="126" a="1"/>
  <c r="T9" i="135" a="1"/>
  <c r="J14" i="129" a="1"/>
  <c r="H13" i="124" a="1"/>
  <c r="L10" i="111" a="1"/>
  <c r="I14" i="131" a="1"/>
  <c r="I14" i="128" a="1"/>
  <c r="I14" i="125" a="1"/>
  <c r="H13" i="130" a="1"/>
  <c r="L12" i="130" a="1"/>
  <c r="L11" i="132" a="1"/>
  <c r="I14" i="135" a="1"/>
  <c r="K13" i="130" a="1"/>
  <c r="L11" i="126" a="1"/>
  <c r="T11" i="128" a="1"/>
  <c r="H13" i="125" a="1"/>
  <c r="H13" i="132" a="1"/>
  <c r="I14" i="124" a="1"/>
  <c r="I13" i="111" a="1"/>
  <c r="H13" i="126" a="1"/>
  <c r="L11" i="125" a="1"/>
  <c r="H13" i="127" a="1"/>
  <c r="L11" i="129" a="1"/>
  <c r="I14" i="126" a="1"/>
  <c r="J14" i="128" a="1"/>
  <c r="K13" i="127" a="1"/>
  <c r="T9" i="129" a="1"/>
  <c r="K13" i="131" a="1"/>
  <c r="H13" i="133" a="1"/>
  <c r="I14" i="132" a="1"/>
  <c r="L11" i="130" a="1"/>
  <c r="J14" i="133" a="1"/>
  <c r="T9" i="133" a="1"/>
  <c r="H13" i="135" a="1"/>
  <c r="I14" i="129" a="1"/>
  <c r="I14" i="133" a="1"/>
  <c r="L12" i="135" a="1"/>
  <c r="I14" i="134" a="1"/>
  <c r="H13" i="128" a="1"/>
  <c r="K13" i="135" a="1"/>
  <c r="H12" i="111" a="1"/>
  <c r="J14" i="124" a="1"/>
  <c r="H13" i="134" a="1"/>
  <c r="K13" i="124" a="1"/>
  <c r="T9" i="124" a="1"/>
  <c r="H13" i="129" a="1"/>
  <c r="K13" i="126" a="1"/>
  <c r="K12" i="111" a="1"/>
  <c r="K13" i="129" a="1"/>
  <c r="K13" i="125" a="1"/>
  <c r="K13" i="128" a="1"/>
  <c r="J14" i="134" a="1"/>
  <c r="J14" i="132" a="1"/>
  <c r="J14" i="130" a="1"/>
  <c r="J14" i="135" a="1"/>
  <c r="J14" i="131" a="1"/>
  <c r="T9" i="128" a="1"/>
  <c r="I14" i="130" a="1"/>
  <c r="T9" i="131" a="1"/>
  <c r="J13" i="111" a="1"/>
  <c r="L11" i="133" a="1"/>
  <c r="J14" i="127" a="1"/>
  <c r="L12" i="125" a="1"/>
  <c r="L11" i="134" a="1"/>
  <c r="I14" i="127" a="1"/>
  <c r="K13" i="132" a="1"/>
  <c r="K13" i="134" a="1"/>
  <c r="T9" i="130" a="1"/>
  <c r="T9" i="127" a="1"/>
  <c r="J14" i="126" a="1"/>
  <c r="K13" i="133" a="1"/>
  <c r="H13" i="131" a="1"/>
  <c r="J14" i="125" a="1"/>
  <c r="L11" i="127" a="1"/>
  <c r="M10" i="134" l="1" a="1"/>
  <c r="M10" i="134" s="1"/>
  <c r="T9" i="134"/>
  <c r="P10" i="131" a="1"/>
  <c r="P10" i="131" s="1"/>
  <c r="N10" i="128" a="1"/>
  <c r="N10" i="128" s="1"/>
  <c r="P10" i="128" a="1"/>
  <c r="P10" i="128" s="1"/>
  <c r="O10" i="131" a="1"/>
  <c r="O10" i="131" s="1"/>
  <c r="P10" i="135" a="1"/>
  <c r="P10" i="135" s="1"/>
  <c r="N10" i="125" a="1"/>
  <c r="N10" i="125" s="1"/>
  <c r="O10" i="135" a="1"/>
  <c r="O10" i="135" s="1"/>
  <c r="M10" i="135" a="1"/>
  <c r="M10" i="135" s="1"/>
  <c r="P10" i="126" a="1"/>
  <c r="P10" i="126" s="1"/>
  <c r="M10" i="131" a="1"/>
  <c r="M10" i="131" s="1"/>
  <c r="M10" i="126" a="1"/>
  <c r="M10" i="126" s="1"/>
  <c r="T9" i="131"/>
  <c r="L11" i="129"/>
  <c r="O11" i="129" s="1" a="1"/>
  <c r="O11" i="129" s="1"/>
  <c r="L11" i="132"/>
  <c r="M11" i="132" s="1" a="1"/>
  <c r="M11" i="132" s="1"/>
  <c r="L10" i="111"/>
  <c r="P10" i="111" s="1" a="1"/>
  <c r="P10" i="111" s="1"/>
  <c r="O10" i="124" a="1"/>
  <c r="O10" i="124" s="1"/>
  <c r="M10" i="124" a="1"/>
  <c r="M10" i="124" s="1"/>
  <c r="O9" i="111" a="1"/>
  <c r="O9" i="111" s="1"/>
  <c r="N9" i="111" a="1"/>
  <c r="N9" i="111" s="1"/>
  <c r="M9" i="111" a="1"/>
  <c r="M9" i="111" s="1"/>
  <c r="P10" i="125" a="1"/>
  <c r="P10" i="125" s="1"/>
  <c r="M10" i="125" a="1"/>
  <c r="M10" i="125" s="1"/>
  <c r="N10" i="127" a="1"/>
  <c r="N10" i="127" s="1"/>
  <c r="L11" i="133"/>
  <c r="M11" i="133" s="1" a="1"/>
  <c r="M11" i="133" s="1"/>
  <c r="L11" i="127"/>
  <c r="P11" i="127" s="1" a="1"/>
  <c r="P11" i="127" s="1"/>
  <c r="L11" i="134"/>
  <c r="M11" i="134" s="1" a="1"/>
  <c r="M11" i="134" s="1"/>
  <c r="O10" i="127" a="1"/>
  <c r="O10" i="127" s="1"/>
  <c r="N10" i="126" a="1"/>
  <c r="N10" i="126" s="1"/>
  <c r="P10" i="127" a="1"/>
  <c r="P10" i="127" s="1"/>
  <c r="L11" i="125"/>
  <c r="N11" i="125" s="1" a="1"/>
  <c r="N11" i="125" s="1"/>
  <c r="L11" i="126"/>
  <c r="N11" i="126" s="1" a="1"/>
  <c r="N11" i="126" s="1"/>
  <c r="L11" i="130"/>
  <c r="M11" i="130" s="1" a="1"/>
  <c r="M11" i="130" s="1"/>
  <c r="T9" i="135"/>
  <c r="T9" i="133"/>
  <c r="T9" i="129"/>
  <c r="T9" i="127"/>
  <c r="T9" i="130"/>
  <c r="T11" i="128"/>
  <c r="T9" i="128"/>
  <c r="T9" i="124"/>
  <c r="T9" i="132"/>
  <c r="L12" i="135"/>
  <c r="L12" i="126"/>
  <c r="I14" i="124"/>
  <c r="J14" i="124"/>
  <c r="J14" i="132"/>
  <c r="I14" i="132"/>
  <c r="J14" i="125"/>
  <c r="I14" i="125"/>
  <c r="K13" i="126"/>
  <c r="H13" i="131"/>
  <c r="H13" i="128"/>
  <c r="K13" i="124"/>
  <c r="J14" i="130"/>
  <c r="I14" i="130"/>
  <c r="J14" i="126"/>
  <c r="I14" i="126"/>
  <c r="K13" i="131"/>
  <c r="K13" i="128"/>
  <c r="H13" i="134"/>
  <c r="K13" i="127"/>
  <c r="J14" i="131"/>
  <c r="I14" i="131"/>
  <c r="I14" i="129"/>
  <c r="J14" i="129"/>
  <c r="H13" i="135"/>
  <c r="K13" i="134"/>
  <c r="H13" i="127"/>
  <c r="J14" i="135"/>
  <c r="I14" i="135"/>
  <c r="I14" i="128"/>
  <c r="J14" i="128"/>
  <c r="K13" i="135"/>
  <c r="H13" i="130"/>
  <c r="I14" i="127"/>
  <c r="J14" i="127"/>
  <c r="K13" i="130"/>
  <c r="H13" i="125"/>
  <c r="L12" i="130"/>
  <c r="H13" i="129"/>
  <c r="H13" i="133"/>
  <c r="H13" i="132"/>
  <c r="K13" i="125"/>
  <c r="J14" i="134"/>
  <c r="I14" i="134"/>
  <c r="L12" i="125"/>
  <c r="J14" i="133"/>
  <c r="I14" i="133"/>
  <c r="H13" i="126"/>
  <c r="K13" i="129"/>
  <c r="K13" i="133"/>
  <c r="K13" i="132"/>
  <c r="H13" i="124"/>
  <c r="C16" i="134"/>
  <c r="Y15" i="134"/>
  <c r="A15" i="134"/>
  <c r="B15" i="134"/>
  <c r="Y15" i="132"/>
  <c r="C16" i="132"/>
  <c r="B15" i="132"/>
  <c r="A15" i="132"/>
  <c r="Y15" i="125"/>
  <c r="C16" i="125"/>
  <c r="B15" i="125"/>
  <c r="A15" i="125"/>
  <c r="O11" i="131" a="1"/>
  <c r="O11" i="131" s="1"/>
  <c r="N11" i="131" a="1"/>
  <c r="N11" i="131" s="1"/>
  <c r="M11" i="131" a="1"/>
  <c r="M11" i="131" s="1"/>
  <c r="P11" i="131" a="1"/>
  <c r="P11" i="131" s="1"/>
  <c r="N11" i="132" a="1"/>
  <c r="N11" i="132" s="1"/>
  <c r="A15" i="124"/>
  <c r="C16" i="124"/>
  <c r="Y15" i="124"/>
  <c r="B15" i="124"/>
  <c r="C16" i="128"/>
  <c r="Y15" i="128"/>
  <c r="B15" i="128"/>
  <c r="A15" i="128"/>
  <c r="C16" i="126"/>
  <c r="Y15" i="126"/>
  <c r="B15" i="126"/>
  <c r="A15" i="126"/>
  <c r="N11" i="133" a="1"/>
  <c r="N11" i="133" s="1"/>
  <c r="A15" i="133"/>
  <c r="B15" i="133"/>
  <c r="C16" i="133"/>
  <c r="Y15" i="133"/>
  <c r="C16" i="130"/>
  <c r="Y15" i="130"/>
  <c r="B15" i="130"/>
  <c r="A15" i="130"/>
  <c r="C16" i="131"/>
  <c r="Y15" i="131"/>
  <c r="B15" i="131"/>
  <c r="A15" i="131"/>
  <c r="C16" i="129"/>
  <c r="B15" i="129"/>
  <c r="A15" i="129"/>
  <c r="Y15" i="129"/>
  <c r="O11" i="126" a="1"/>
  <c r="O11" i="126" s="1"/>
  <c r="M11" i="128" a="1"/>
  <c r="M11" i="128" s="1"/>
  <c r="P11" i="128" a="1"/>
  <c r="P11" i="128" s="1"/>
  <c r="O11" i="128" a="1"/>
  <c r="O11" i="128" s="1"/>
  <c r="N11" i="128" a="1"/>
  <c r="N11" i="128" s="1"/>
  <c r="N11" i="135" a="1"/>
  <c r="N11" i="135" s="1"/>
  <c r="M11" i="135" a="1"/>
  <c r="M11" i="135" s="1"/>
  <c r="P11" i="135" a="1"/>
  <c r="P11" i="135" s="1"/>
  <c r="O11" i="135" a="1"/>
  <c r="O11" i="135" s="1"/>
  <c r="C16" i="127"/>
  <c r="B15" i="127"/>
  <c r="A15" i="127"/>
  <c r="Y15" i="127"/>
  <c r="N11" i="134" a="1"/>
  <c r="N11" i="134" s="1"/>
  <c r="P11" i="134" a="1"/>
  <c r="P11" i="134" s="1"/>
  <c r="O11" i="134" a="1"/>
  <c r="O11" i="134" s="1"/>
  <c r="Y15" i="135"/>
  <c r="C16" i="135"/>
  <c r="B15" i="135"/>
  <c r="A15" i="135"/>
  <c r="N11" i="130" a="1"/>
  <c r="N11" i="130" s="1"/>
  <c r="P11" i="130" a="1"/>
  <c r="P11" i="130" s="1"/>
  <c r="M11" i="124" a="1"/>
  <c r="M11" i="124" s="1"/>
  <c r="P11" i="124" a="1"/>
  <c r="P11" i="124" s="1"/>
  <c r="O11" i="124" a="1"/>
  <c r="O11" i="124" s="1"/>
  <c r="N11" i="124" a="1"/>
  <c r="N11" i="124" s="1"/>
  <c r="K12" i="111"/>
  <c r="J13" i="111"/>
  <c r="I13" i="111"/>
  <c r="H12" i="111"/>
  <c r="T14" i="111" a="1"/>
  <c r="T14" i="111" s="1"/>
  <c r="C15" i="111"/>
  <c r="B15" i="111" s="1"/>
  <c r="A14" i="111"/>
  <c r="Y14" i="111"/>
  <c r="O32" i="56"/>
  <c r="N32" i="56"/>
  <c r="M32" i="56"/>
  <c r="L33" i="56"/>
  <c r="C36" i="56"/>
  <c r="A35" i="56"/>
  <c r="T10" i="131" a="1"/>
  <c r="K14" i="134" a="1"/>
  <c r="K14" i="133" a="1"/>
  <c r="I15" i="131" a="1"/>
  <c r="K14" i="131" a="1"/>
  <c r="I15" i="133" a="1"/>
  <c r="K14" i="127" a="1"/>
  <c r="T10" i="124" a="1"/>
  <c r="I15" i="128" a="1"/>
  <c r="L13" i="135" a="1"/>
  <c r="L13" i="133" a="1"/>
  <c r="H14" i="125" a="1"/>
  <c r="K14" i="129" a="1"/>
  <c r="T10" i="127" a="1"/>
  <c r="L12" i="127" a="1"/>
  <c r="I15" i="125" a="1"/>
  <c r="H14" i="130" a="1"/>
  <c r="J15" i="134" a="1"/>
  <c r="J15" i="130" a="1"/>
  <c r="T10" i="133" a="1"/>
  <c r="L13" i="124" a="1"/>
  <c r="H14" i="127" a="1"/>
  <c r="J15" i="129" a="1"/>
  <c r="L12" i="132" a="1"/>
  <c r="K14" i="126" a="1"/>
  <c r="J15" i="133" a="1"/>
  <c r="H14" i="126" a="1"/>
  <c r="J15" i="128" a="1"/>
  <c r="J15" i="132" a="1"/>
  <c r="H14" i="131" a="1"/>
  <c r="T10" i="130" a="1"/>
  <c r="J15" i="125" a="1"/>
  <c r="I15" i="129" a="1"/>
  <c r="I15" i="126" a="1"/>
  <c r="K14" i="132" a="1"/>
  <c r="L12" i="124" a="1"/>
  <c r="K13" i="111" a="1"/>
  <c r="L12" i="133" a="1"/>
  <c r="I15" i="127" a="1"/>
  <c r="L13" i="129" a="1"/>
  <c r="I15" i="130" a="1"/>
  <c r="J15" i="135" a="1"/>
  <c r="H14" i="124" a="1"/>
  <c r="L11" i="111" a="1"/>
  <c r="H14" i="134" a="1"/>
  <c r="T10" i="125" a="1"/>
  <c r="L12" i="131" a="1"/>
  <c r="J15" i="124" a="1"/>
  <c r="L13" i="131" a="1"/>
  <c r="K14" i="135" a="1"/>
  <c r="K14" i="128" a="1"/>
  <c r="J15" i="127" a="1"/>
  <c r="I14" i="111" a="1"/>
  <c r="I15" i="132" a="1"/>
  <c r="J15" i="126" a="1"/>
  <c r="T10" i="128" a="1"/>
  <c r="I15" i="124" a="1"/>
  <c r="T10" i="132" a="1"/>
  <c r="H14" i="128" a="1"/>
  <c r="T10" i="129" a="1"/>
  <c r="T10" i="134" a="1"/>
  <c r="L12" i="134" a="1"/>
  <c r="H14" i="129" a="1"/>
  <c r="L13" i="125" a="1"/>
  <c r="H14" i="132" a="1"/>
  <c r="L13" i="126" a="1"/>
  <c r="L12" i="128" a="1"/>
  <c r="I15" i="134" a="1"/>
  <c r="L12" i="129" a="1"/>
  <c r="K14" i="124" a="1"/>
  <c r="K14" i="130" a="1"/>
  <c r="H14" i="133" a="1"/>
  <c r="T10" i="126" a="1"/>
  <c r="H13" i="111" a="1"/>
  <c r="I15" i="135" a="1"/>
  <c r="L13" i="134" a="1"/>
  <c r="H14" i="135" a="1"/>
  <c r="K14" i="125" a="1"/>
  <c r="J14" i="111" a="1"/>
  <c r="J15" i="131" a="1"/>
  <c r="T10" i="135" a="1"/>
  <c r="O11" i="132" l="1" a="1"/>
  <c r="O11" i="132" s="1"/>
  <c r="P11" i="132" a="1"/>
  <c r="P11" i="132" s="1"/>
  <c r="P11" i="126" a="1"/>
  <c r="P11" i="126" s="1"/>
  <c r="L12" i="131"/>
  <c r="T10" i="131"/>
  <c r="M11" i="129" a="1"/>
  <c r="M11" i="129" s="1"/>
  <c r="N11" i="129" a="1"/>
  <c r="N11" i="129" s="1"/>
  <c r="P11" i="129" a="1"/>
  <c r="P11" i="129" s="1"/>
  <c r="O11" i="133" a="1"/>
  <c r="O11" i="133" s="1"/>
  <c r="L12" i="124"/>
  <c r="O12" i="124" s="1" a="1"/>
  <c r="O12" i="124" s="1"/>
  <c r="T10" i="130"/>
  <c r="O11" i="127" a="1"/>
  <c r="O11" i="127" s="1"/>
  <c r="M11" i="127" a="1"/>
  <c r="M11" i="127" s="1"/>
  <c r="N11" i="127" a="1"/>
  <c r="N11" i="127" s="1"/>
  <c r="M10" i="111" a="1"/>
  <c r="M10" i="111" s="1"/>
  <c r="O10" i="111" a="1"/>
  <c r="O10" i="111" s="1"/>
  <c r="N10" i="111" a="1"/>
  <c r="N10" i="111" s="1"/>
  <c r="O11" i="125" a="1"/>
  <c r="O11" i="125" s="1"/>
  <c r="P11" i="125" a="1"/>
  <c r="P11" i="125" s="1"/>
  <c r="M11" i="125" a="1"/>
  <c r="M11" i="125" s="1"/>
  <c r="L12" i="127"/>
  <c r="L12" i="129"/>
  <c r="P12" i="129" s="1" a="1"/>
  <c r="P12" i="129" s="1"/>
  <c r="L12" i="128"/>
  <c r="L12" i="134"/>
  <c r="O12" i="134" s="1" a="1"/>
  <c r="O12" i="134" s="1"/>
  <c r="M11" i="126" a="1"/>
  <c r="M11" i="126" s="1"/>
  <c r="P11" i="133" a="1"/>
  <c r="P11" i="133" s="1"/>
  <c r="L12" i="132"/>
  <c r="T10" i="128"/>
  <c r="O11" i="130" a="1"/>
  <c r="O11" i="130" s="1"/>
  <c r="T10" i="134"/>
  <c r="T10" i="127"/>
  <c r="T10" i="126"/>
  <c r="L11" i="111"/>
  <c r="P11" i="111" s="1" a="1"/>
  <c r="P11" i="111" s="1"/>
  <c r="L12" i="133"/>
  <c r="T10" i="133"/>
  <c r="T10" i="129"/>
  <c r="T10" i="132"/>
  <c r="T10" i="135"/>
  <c r="T10" i="125"/>
  <c r="T10" i="124"/>
  <c r="L13" i="134"/>
  <c r="L13" i="131"/>
  <c r="L13" i="133"/>
  <c r="K14" i="127"/>
  <c r="J15" i="133"/>
  <c r="I15" i="133"/>
  <c r="J15" i="134"/>
  <c r="I15" i="134"/>
  <c r="K14" i="132"/>
  <c r="L13" i="124"/>
  <c r="K14" i="124"/>
  <c r="J15" i="124"/>
  <c r="I15" i="124"/>
  <c r="H14" i="133"/>
  <c r="K14" i="128"/>
  <c r="K14" i="129"/>
  <c r="H14" i="124"/>
  <c r="J15" i="130"/>
  <c r="I15" i="130"/>
  <c r="J15" i="126"/>
  <c r="I15" i="126"/>
  <c r="J15" i="132"/>
  <c r="I15" i="132"/>
  <c r="K14" i="133"/>
  <c r="H14" i="128"/>
  <c r="H14" i="129"/>
  <c r="H14" i="126"/>
  <c r="I15" i="129"/>
  <c r="J15" i="129"/>
  <c r="H14" i="135"/>
  <c r="H14" i="131"/>
  <c r="K14" i="126"/>
  <c r="H14" i="134"/>
  <c r="K14" i="135"/>
  <c r="K14" i="131"/>
  <c r="H14" i="130"/>
  <c r="H14" i="125"/>
  <c r="I15" i="127"/>
  <c r="J15" i="127"/>
  <c r="J15" i="135"/>
  <c r="I15" i="135"/>
  <c r="K14" i="134"/>
  <c r="K14" i="130"/>
  <c r="K14" i="125"/>
  <c r="L13" i="126"/>
  <c r="I15" i="131"/>
  <c r="J15" i="131"/>
  <c r="L13" i="135"/>
  <c r="L13" i="129"/>
  <c r="J15" i="128"/>
  <c r="I15" i="128"/>
  <c r="J15" i="125"/>
  <c r="I15" i="125"/>
  <c r="H14" i="127"/>
  <c r="H14" i="132"/>
  <c r="L13" i="125"/>
  <c r="C17" i="131"/>
  <c r="A16" i="131"/>
  <c r="Y16" i="131"/>
  <c r="B16" i="131"/>
  <c r="Y16" i="125"/>
  <c r="B16" i="125"/>
  <c r="A16" i="125"/>
  <c r="C17" i="125"/>
  <c r="O12" i="131" a="1"/>
  <c r="O12" i="131" s="1"/>
  <c r="N12" i="131" a="1"/>
  <c r="N12" i="131" s="1"/>
  <c r="M12" i="131" a="1"/>
  <c r="M12" i="131" s="1"/>
  <c r="P12" i="131" a="1"/>
  <c r="P12" i="131" s="1"/>
  <c r="B16" i="128"/>
  <c r="A16" i="128"/>
  <c r="C17" i="128"/>
  <c r="Y16" i="128"/>
  <c r="C17" i="134"/>
  <c r="Y16" i="134"/>
  <c r="A16" i="134"/>
  <c r="B16" i="134"/>
  <c r="N12" i="130" a="1"/>
  <c r="N12" i="130" s="1"/>
  <c r="M12" i="130" a="1"/>
  <c r="M12" i="130" s="1"/>
  <c r="P12" i="130" a="1"/>
  <c r="P12" i="130" s="1"/>
  <c r="O12" i="130" a="1"/>
  <c r="O12" i="130" s="1"/>
  <c r="O12" i="126" a="1"/>
  <c r="O12" i="126" s="1"/>
  <c r="N12" i="126" a="1"/>
  <c r="N12" i="126" s="1"/>
  <c r="M12" i="126" a="1"/>
  <c r="M12" i="126" s="1"/>
  <c r="P12" i="126" a="1"/>
  <c r="P12" i="126" s="1"/>
  <c r="C17" i="127"/>
  <c r="B16" i="127"/>
  <c r="A16" i="127"/>
  <c r="Y16" i="127"/>
  <c r="C17" i="129"/>
  <c r="B16" i="129"/>
  <c r="A16" i="129"/>
  <c r="Y16" i="129"/>
  <c r="Y16" i="130"/>
  <c r="C17" i="130"/>
  <c r="B16" i="130"/>
  <c r="A16" i="130"/>
  <c r="Y16" i="132"/>
  <c r="C17" i="132"/>
  <c r="B16" i="132"/>
  <c r="A16" i="132"/>
  <c r="B16" i="124"/>
  <c r="A16" i="124"/>
  <c r="C17" i="124"/>
  <c r="Y16" i="124"/>
  <c r="N12" i="125" a="1"/>
  <c r="N12" i="125" s="1"/>
  <c r="M12" i="125" a="1"/>
  <c r="M12" i="125" s="1"/>
  <c r="P12" i="125" a="1"/>
  <c r="P12" i="125" s="1"/>
  <c r="O12" i="125" a="1"/>
  <c r="O12" i="125" s="1"/>
  <c r="C17" i="126"/>
  <c r="B16" i="126"/>
  <c r="A16" i="126"/>
  <c r="Y16" i="126"/>
  <c r="N12" i="132" a="1"/>
  <c r="N12" i="132" s="1"/>
  <c r="M12" i="132" a="1"/>
  <c r="M12" i="132" s="1"/>
  <c r="P12" i="132" a="1"/>
  <c r="P12" i="132" s="1"/>
  <c r="O12" i="132" a="1"/>
  <c r="O12" i="132" s="1"/>
  <c r="A16" i="133"/>
  <c r="C17" i="133"/>
  <c r="Y16" i="133"/>
  <c r="B16" i="133"/>
  <c r="P12" i="128" a="1"/>
  <c r="P12" i="128" s="1"/>
  <c r="M12" i="127" a="1"/>
  <c r="M12" i="127" s="1"/>
  <c r="N12" i="127" a="1"/>
  <c r="N12" i="127" s="1"/>
  <c r="P12" i="127" a="1"/>
  <c r="P12" i="127" s="1"/>
  <c r="O12" i="127" a="1"/>
  <c r="O12" i="127" s="1"/>
  <c r="N12" i="135" a="1"/>
  <c r="N12" i="135" s="1"/>
  <c r="M12" i="135" a="1"/>
  <c r="M12" i="135" s="1"/>
  <c r="P12" i="135" a="1"/>
  <c r="P12" i="135" s="1"/>
  <c r="O12" i="135" a="1"/>
  <c r="O12" i="135" s="1"/>
  <c r="Y16" i="135"/>
  <c r="C17" i="135"/>
  <c r="B16" i="135"/>
  <c r="A16" i="135"/>
  <c r="K13" i="111"/>
  <c r="H13" i="111"/>
  <c r="J14" i="111"/>
  <c r="I14" i="111"/>
  <c r="T15" i="111" a="1"/>
  <c r="T15" i="111" s="1"/>
  <c r="A15" i="111"/>
  <c r="Y15" i="111"/>
  <c r="C16" i="111"/>
  <c r="B16" i="111" s="1"/>
  <c r="P32" i="56"/>
  <c r="T32" i="56"/>
  <c r="O33" i="56"/>
  <c r="N33" i="56"/>
  <c r="M33" i="56"/>
  <c r="L34" i="56"/>
  <c r="C37" i="56"/>
  <c r="A36" i="56"/>
  <c r="L13" i="132" a="1"/>
  <c r="I16" i="129" a="1"/>
  <c r="J16" i="125" a="1"/>
  <c r="T11" i="124" a="1"/>
  <c r="K14" i="111" a="1"/>
  <c r="T12" i="130" a="1"/>
  <c r="H15" i="127" a="1"/>
  <c r="T12" i="133" a="1"/>
  <c r="J16" i="124" a="1"/>
  <c r="J16" i="128" a="1"/>
  <c r="L13" i="111" a="1"/>
  <c r="T11" i="134" a="1"/>
  <c r="H15" i="126" a="1"/>
  <c r="J16" i="131" a="1"/>
  <c r="J16" i="132" a="1"/>
  <c r="L13" i="127" a="1"/>
  <c r="K15" i="124" a="1"/>
  <c r="K15" i="134" a="1"/>
  <c r="L13" i="130" a="1"/>
  <c r="I15" i="111" a="1"/>
  <c r="J16" i="129" a="1"/>
  <c r="K15" i="133" a="1"/>
  <c r="I16" i="127" a="1"/>
  <c r="K15" i="126" a="1"/>
  <c r="I16" i="126" a="1"/>
  <c r="I16" i="132" a="1"/>
  <c r="L14" i="127" a="1"/>
  <c r="I16" i="135" a="1"/>
  <c r="L13" i="128" a="1"/>
  <c r="J16" i="130" a="1"/>
  <c r="T11" i="131" a="1"/>
  <c r="K15" i="130" a="1"/>
  <c r="H15" i="130" a="1"/>
  <c r="H15" i="133" a="1"/>
  <c r="H15" i="125" a="1"/>
  <c r="J15" i="111" a="1"/>
  <c r="T11" i="132" a="1"/>
  <c r="J16" i="134" a="1"/>
  <c r="K15" i="131" a="1"/>
  <c r="J16" i="133" a="1"/>
  <c r="J16" i="126" a="1"/>
  <c r="H15" i="128" a="1"/>
  <c r="K15" i="129" a="1"/>
  <c r="I16" i="130" a="1"/>
  <c r="I16" i="131" a="1"/>
  <c r="I16" i="128" a="1"/>
  <c r="J16" i="135" a="1"/>
  <c r="I16" i="133" a="1"/>
  <c r="I16" i="134" a="1"/>
  <c r="J16" i="127" a="1"/>
  <c r="L14" i="126" a="1"/>
  <c r="T11" i="127" a="1"/>
  <c r="T12" i="128" a="1"/>
  <c r="H15" i="129" a="1"/>
  <c r="I16" i="124" a="1"/>
  <c r="H15" i="124" a="1"/>
  <c r="T11" i="125" a="1"/>
  <c r="K15" i="135" a="1"/>
  <c r="H15" i="132" a="1"/>
  <c r="H15" i="135" a="1"/>
  <c r="L14" i="130" a="1"/>
  <c r="T11" i="129" a="1"/>
  <c r="K15" i="128" a="1"/>
  <c r="L14" i="135" a="1"/>
  <c r="I16" i="125" a="1"/>
  <c r="K15" i="125" a="1"/>
  <c r="L12" i="111" a="1"/>
  <c r="K15" i="132" a="1"/>
  <c r="L14" i="133" a="1"/>
  <c r="L14" i="129" a="1"/>
  <c r="T11" i="135" a="1"/>
  <c r="H15" i="131" a="1"/>
  <c r="K15" i="127" a="1"/>
  <c r="H14" i="111" a="1"/>
  <c r="T11" i="126" a="1"/>
  <c r="T11" i="130" a="1"/>
  <c r="H15" i="134" a="1"/>
  <c r="T11" i="133" a="1"/>
  <c r="N12" i="134" l="1" a="1"/>
  <c r="N12" i="134" s="1"/>
  <c r="M12" i="134" a="1"/>
  <c r="M12" i="134" s="1"/>
  <c r="P12" i="134" a="1"/>
  <c r="P12" i="134" s="1"/>
  <c r="L13" i="128"/>
  <c r="L13" i="127"/>
  <c r="L13" i="132"/>
  <c r="T11" i="133"/>
  <c r="P12" i="124" a="1"/>
  <c r="P12" i="124" s="1"/>
  <c r="M12" i="124" a="1"/>
  <c r="M12" i="124" s="1"/>
  <c r="N12" i="124" a="1"/>
  <c r="N12" i="124" s="1"/>
  <c r="O12" i="128" a="1"/>
  <c r="O12" i="128" s="1"/>
  <c r="M12" i="128" a="1"/>
  <c r="M12" i="128" s="1"/>
  <c r="N12" i="128" a="1"/>
  <c r="N12" i="128" s="1"/>
  <c r="L12" i="111"/>
  <c r="P12" i="111" s="1" a="1"/>
  <c r="P12" i="111" s="1"/>
  <c r="O11" i="111" a="1"/>
  <c r="O11" i="111" s="1"/>
  <c r="M12" i="129" a="1"/>
  <c r="M12" i="129" s="1"/>
  <c r="N12" i="129" a="1"/>
  <c r="N12" i="129" s="1"/>
  <c r="O12" i="129" a="1"/>
  <c r="O12" i="129" s="1"/>
  <c r="T11" i="124"/>
  <c r="N11" i="111" a="1"/>
  <c r="N11" i="111" s="1"/>
  <c r="M12" i="133" a="1"/>
  <c r="M12" i="133" s="1"/>
  <c r="M11" i="111" a="1"/>
  <c r="M11" i="111" s="1"/>
  <c r="O12" i="133" a="1"/>
  <c r="O12" i="133" s="1"/>
  <c r="P12" i="133" a="1"/>
  <c r="P12" i="133" s="1"/>
  <c r="N12" i="133" a="1"/>
  <c r="N12" i="133" s="1"/>
  <c r="T12" i="130"/>
  <c r="L13" i="130"/>
  <c r="P13" i="130" s="1" a="1"/>
  <c r="P13" i="130" s="1"/>
  <c r="T11" i="130"/>
  <c r="T12" i="133"/>
  <c r="T12" i="128"/>
  <c r="T11" i="132"/>
  <c r="T11" i="126"/>
  <c r="T11" i="127"/>
  <c r="T11" i="135"/>
  <c r="T11" i="125"/>
  <c r="T11" i="134"/>
  <c r="T11" i="129"/>
  <c r="T11" i="131"/>
  <c r="L14" i="135"/>
  <c r="L14" i="133"/>
  <c r="L14" i="130"/>
  <c r="J16" i="132"/>
  <c r="I16" i="132"/>
  <c r="J16" i="130"/>
  <c r="I16" i="130"/>
  <c r="L14" i="126"/>
  <c r="J16" i="124"/>
  <c r="I16" i="124"/>
  <c r="I16" i="127"/>
  <c r="J16" i="127"/>
  <c r="J16" i="126"/>
  <c r="I16" i="126"/>
  <c r="K15" i="125"/>
  <c r="H15" i="129"/>
  <c r="K15" i="126"/>
  <c r="K15" i="124"/>
  <c r="J16" i="128"/>
  <c r="I16" i="128"/>
  <c r="H15" i="128"/>
  <c r="H15" i="130"/>
  <c r="K15" i="128"/>
  <c r="K15" i="130"/>
  <c r="L14" i="127"/>
  <c r="H15" i="135"/>
  <c r="J16" i="133"/>
  <c r="I16" i="133"/>
  <c r="I16" i="129"/>
  <c r="J16" i="129"/>
  <c r="J16" i="134"/>
  <c r="I16" i="134"/>
  <c r="K15" i="135"/>
  <c r="H15" i="134"/>
  <c r="J16" i="135"/>
  <c r="I16" i="135"/>
  <c r="J16" i="125"/>
  <c r="I16" i="125"/>
  <c r="K15" i="131"/>
  <c r="K15" i="127"/>
  <c r="H15" i="132"/>
  <c r="K15" i="134"/>
  <c r="H15" i="131"/>
  <c r="H15" i="127"/>
  <c r="K15" i="132"/>
  <c r="H15" i="133"/>
  <c r="L14" i="129"/>
  <c r="J16" i="131"/>
  <c r="I16" i="131"/>
  <c r="H15" i="125"/>
  <c r="K15" i="129"/>
  <c r="H15" i="126"/>
  <c r="H15" i="124"/>
  <c r="K15" i="133"/>
  <c r="C18" i="127"/>
  <c r="Y17" i="127"/>
  <c r="B17" i="127"/>
  <c r="A17" i="127"/>
  <c r="C18" i="126"/>
  <c r="Y17" i="126"/>
  <c r="B17" i="126"/>
  <c r="A17" i="126"/>
  <c r="C18" i="131"/>
  <c r="B17" i="131"/>
  <c r="A17" i="131"/>
  <c r="Y17" i="131"/>
  <c r="P13" i="124" a="1"/>
  <c r="P13" i="124" s="1"/>
  <c r="O13" i="124" a="1"/>
  <c r="O13" i="124" s="1"/>
  <c r="N13" i="124" a="1"/>
  <c r="N13" i="124" s="1"/>
  <c r="M13" i="124" a="1"/>
  <c r="M13" i="124" s="1"/>
  <c r="M13" i="133" a="1"/>
  <c r="M13" i="133" s="1"/>
  <c r="O13" i="133" a="1"/>
  <c r="O13" i="133" s="1"/>
  <c r="N13" i="133" a="1"/>
  <c r="N13" i="133" s="1"/>
  <c r="P13" i="133" a="1"/>
  <c r="P13" i="133" s="1"/>
  <c r="A17" i="133"/>
  <c r="C18" i="133"/>
  <c r="Y17" i="133"/>
  <c r="B17" i="133"/>
  <c r="C18" i="129"/>
  <c r="B17" i="129"/>
  <c r="Y17" i="129"/>
  <c r="A17" i="129"/>
  <c r="Y17" i="125"/>
  <c r="A17" i="125"/>
  <c r="C18" i="125"/>
  <c r="B17" i="125"/>
  <c r="M13" i="129" a="1"/>
  <c r="M13" i="129" s="1"/>
  <c r="P13" i="129" a="1"/>
  <c r="P13" i="129" s="1"/>
  <c r="O13" i="129" a="1"/>
  <c r="O13" i="129" s="1"/>
  <c r="N13" i="129" a="1"/>
  <c r="N13" i="129" s="1"/>
  <c r="O13" i="131" a="1"/>
  <c r="O13" i="131" s="1"/>
  <c r="N13" i="131" a="1"/>
  <c r="N13" i="131" s="1"/>
  <c r="M13" i="131" a="1"/>
  <c r="M13" i="131" s="1"/>
  <c r="P13" i="131" a="1"/>
  <c r="P13" i="131" s="1"/>
  <c r="Y17" i="132"/>
  <c r="C18" i="132"/>
  <c r="B17" i="132"/>
  <c r="A17" i="132"/>
  <c r="N13" i="125" a="1"/>
  <c r="N13" i="125" s="1"/>
  <c r="P13" i="125" a="1"/>
  <c r="P13" i="125" s="1"/>
  <c r="O13" i="125" a="1"/>
  <c r="O13" i="125" s="1"/>
  <c r="M13" i="125" a="1"/>
  <c r="M13" i="125" s="1"/>
  <c r="N13" i="135" a="1"/>
  <c r="N13" i="135" s="1"/>
  <c r="M13" i="135" a="1"/>
  <c r="M13" i="135" s="1"/>
  <c r="P13" i="135" a="1"/>
  <c r="P13" i="135" s="1"/>
  <c r="O13" i="135" a="1"/>
  <c r="O13" i="135" s="1"/>
  <c r="P13" i="128" a="1"/>
  <c r="P13" i="128" s="1"/>
  <c r="O13" i="128" a="1"/>
  <c r="O13" i="128" s="1"/>
  <c r="N13" i="128" a="1"/>
  <c r="N13" i="128" s="1"/>
  <c r="M13" i="128" a="1"/>
  <c r="M13" i="128" s="1"/>
  <c r="Y17" i="124"/>
  <c r="B17" i="124"/>
  <c r="C18" i="124"/>
  <c r="A17" i="124"/>
  <c r="N13" i="134" a="1"/>
  <c r="N13" i="134" s="1"/>
  <c r="P13" i="134" a="1"/>
  <c r="P13" i="134" s="1"/>
  <c r="M13" i="134" a="1"/>
  <c r="M13" i="134" s="1"/>
  <c r="O13" i="134" a="1"/>
  <c r="O13" i="134" s="1"/>
  <c r="Y17" i="135"/>
  <c r="C18" i="135"/>
  <c r="B17" i="135"/>
  <c r="A17" i="135"/>
  <c r="N13" i="132" a="1"/>
  <c r="N13" i="132" s="1"/>
  <c r="M13" i="132" a="1"/>
  <c r="M13" i="132" s="1"/>
  <c r="P13" i="132" a="1"/>
  <c r="P13" i="132" s="1"/>
  <c r="O13" i="132" a="1"/>
  <c r="O13" i="132" s="1"/>
  <c r="Y17" i="130"/>
  <c r="C18" i="130"/>
  <c r="B17" i="130"/>
  <c r="A17" i="130"/>
  <c r="C18" i="134"/>
  <c r="Y17" i="134"/>
  <c r="B17" i="134"/>
  <c r="A17" i="134"/>
  <c r="Y17" i="128"/>
  <c r="B17" i="128"/>
  <c r="A17" i="128"/>
  <c r="C18" i="128"/>
  <c r="P13" i="126" a="1"/>
  <c r="P13" i="126" s="1"/>
  <c r="O13" i="126" a="1"/>
  <c r="O13" i="126" s="1"/>
  <c r="N13" i="126" a="1"/>
  <c r="N13" i="126" s="1"/>
  <c r="M13" i="126" a="1"/>
  <c r="M13" i="126" s="1"/>
  <c r="M13" i="127" a="1"/>
  <c r="M13" i="127" s="1"/>
  <c r="N13" i="127" a="1"/>
  <c r="N13" i="127" s="1"/>
  <c r="O13" i="127" a="1"/>
  <c r="O13" i="127" s="1"/>
  <c r="P13" i="127" a="1"/>
  <c r="P13" i="127" s="1"/>
  <c r="K14" i="111"/>
  <c r="L13" i="111"/>
  <c r="P13" i="111" s="1" a="1"/>
  <c r="P13" i="111" s="1"/>
  <c r="O12" i="111" a="1"/>
  <c r="O12" i="111" s="1"/>
  <c r="H14" i="111"/>
  <c r="J15" i="111"/>
  <c r="I15" i="111"/>
  <c r="T16" i="111" a="1"/>
  <c r="T16" i="111" s="1"/>
  <c r="Y16" i="111"/>
  <c r="A16" i="111"/>
  <c r="C17" i="111"/>
  <c r="B17" i="111" s="1"/>
  <c r="O34" i="56"/>
  <c r="N34" i="56"/>
  <c r="M34" i="56"/>
  <c r="T33" i="56"/>
  <c r="P33" i="56"/>
  <c r="L36" i="56"/>
  <c r="L35" i="56"/>
  <c r="A37" i="56"/>
  <c r="C38" i="56"/>
  <c r="J17" i="124" a="1"/>
  <c r="H16" i="134" a="1"/>
  <c r="H16" i="126" a="1"/>
  <c r="H16" i="131" a="1"/>
  <c r="H16" i="135" a="1"/>
  <c r="J16" i="111" a="1"/>
  <c r="I17" i="126" a="1"/>
  <c r="J17" i="129" a="1"/>
  <c r="L14" i="124" a="1"/>
  <c r="K16" i="134" a="1"/>
  <c r="H16" i="127" a="1"/>
  <c r="H16" i="133" a="1"/>
  <c r="K16" i="128" a="1"/>
  <c r="K16" i="133" a="1"/>
  <c r="J17" i="134" a="1"/>
  <c r="J17" i="130" a="1"/>
  <c r="T13" i="127" a="1"/>
  <c r="I17" i="133" a="1"/>
  <c r="T12" i="134" a="1"/>
  <c r="L14" i="111" a="1"/>
  <c r="T12" i="131" a="1"/>
  <c r="T12" i="132" a="1"/>
  <c r="H16" i="124" a="1"/>
  <c r="I17" i="127" a="1"/>
  <c r="I17" i="124" a="1"/>
  <c r="H15" i="111" a="1"/>
  <c r="L15" i="129" a="1"/>
  <c r="J17" i="125" a="1"/>
  <c r="L15" i="133" a="1"/>
  <c r="L14" i="131" a="1"/>
  <c r="K16" i="127" a="1"/>
  <c r="I17" i="135" a="1"/>
  <c r="T14" i="135" a="1"/>
  <c r="K16" i="132" a="1"/>
  <c r="I17" i="129" a="1"/>
  <c r="J17" i="131" a="1"/>
  <c r="K16" i="124" a="1"/>
  <c r="J17" i="127" a="1"/>
  <c r="J17" i="133" a="1"/>
  <c r="I17" i="132" a="1"/>
  <c r="L15" i="124" a="1"/>
  <c r="I17" i="125" a="1"/>
  <c r="L15" i="125" a="1"/>
  <c r="L14" i="132" a="1"/>
  <c r="L14" i="125" a="1"/>
  <c r="K16" i="126" a="1"/>
  <c r="T12" i="126" a="1"/>
  <c r="J17" i="128" a="1"/>
  <c r="K16" i="130" a="1"/>
  <c r="J17" i="132" a="1"/>
  <c r="J17" i="135" a="1"/>
  <c r="K16" i="129" a="1"/>
  <c r="T12" i="135" a="1"/>
  <c r="L14" i="134" a="1"/>
  <c r="H16" i="130" a="1"/>
  <c r="K16" i="125" a="1"/>
  <c r="L15" i="131" a="1"/>
  <c r="H16" i="129" a="1"/>
  <c r="L15" i="135" a="1"/>
  <c r="H16" i="125" a="1"/>
  <c r="K16" i="135" a="1"/>
  <c r="I17" i="131" a="1"/>
  <c r="K15" i="111" a="1"/>
  <c r="I16" i="111" a="1"/>
  <c r="I17" i="130" a="1"/>
  <c r="H16" i="128" a="1"/>
  <c r="K16" i="131" a="1"/>
  <c r="T13" i="124" a="1"/>
  <c r="H16" i="132" a="1"/>
  <c r="T12" i="124" a="1"/>
  <c r="I17" i="128" a="1"/>
  <c r="I17" i="134" a="1"/>
  <c r="T12" i="125" a="1"/>
  <c r="L14" i="128" a="1"/>
  <c r="T12" i="127" a="1"/>
  <c r="J17" i="126" a="1"/>
  <c r="L15" i="126" a="1"/>
  <c r="T13" i="127" l="1"/>
  <c r="M12" i="111" a="1"/>
  <c r="M12" i="111" s="1"/>
  <c r="N12" i="111" a="1"/>
  <c r="N12" i="111" s="1"/>
  <c r="L14" i="131"/>
  <c r="T12" i="124"/>
  <c r="L14" i="124"/>
  <c r="N14" i="124" s="1" a="1"/>
  <c r="N14" i="124" s="1"/>
  <c r="M13" i="130" a="1"/>
  <c r="M13" i="130" s="1"/>
  <c r="N13" i="130" a="1"/>
  <c r="N13" i="130" s="1"/>
  <c r="O13" i="130" a="1"/>
  <c r="O13" i="130" s="1"/>
  <c r="L14" i="125"/>
  <c r="O14" i="125" s="1" a="1"/>
  <c r="O14" i="125" s="1"/>
  <c r="T12" i="127"/>
  <c r="L14" i="132"/>
  <c r="N14" i="132" s="1" a="1"/>
  <c r="N14" i="132" s="1"/>
  <c r="L14" i="128"/>
  <c r="L14" i="134"/>
  <c r="T13" i="124"/>
  <c r="T12" i="131"/>
  <c r="T12" i="132"/>
  <c r="T14" i="135"/>
  <c r="T12" i="126"/>
  <c r="T12" i="125"/>
  <c r="T12" i="135"/>
  <c r="T12" i="134"/>
  <c r="L15" i="124"/>
  <c r="L15" i="133"/>
  <c r="J17" i="134"/>
  <c r="I17" i="134"/>
  <c r="L15" i="125"/>
  <c r="K16" i="125"/>
  <c r="J17" i="125"/>
  <c r="I17" i="125"/>
  <c r="I17" i="133"/>
  <c r="J17" i="133"/>
  <c r="I17" i="126"/>
  <c r="J17" i="126"/>
  <c r="K16" i="135"/>
  <c r="H16" i="133"/>
  <c r="H16" i="128"/>
  <c r="K16" i="127"/>
  <c r="H16" i="132"/>
  <c r="K16" i="132"/>
  <c r="K16" i="128"/>
  <c r="I17" i="128"/>
  <c r="J17" i="128"/>
  <c r="L15" i="131"/>
  <c r="K16" i="131"/>
  <c r="H16" i="124"/>
  <c r="K16" i="133"/>
  <c r="L15" i="135"/>
  <c r="H16" i="134"/>
  <c r="K16" i="124"/>
  <c r="J17" i="130"/>
  <c r="I17" i="130"/>
  <c r="H16" i="131"/>
  <c r="H16" i="127"/>
  <c r="J17" i="132"/>
  <c r="I17" i="132"/>
  <c r="L15" i="129"/>
  <c r="J17" i="135"/>
  <c r="I17" i="135"/>
  <c r="I17" i="127"/>
  <c r="J17" i="127"/>
  <c r="K16" i="134"/>
  <c r="L15" i="126"/>
  <c r="H16" i="125"/>
  <c r="H16" i="130"/>
  <c r="K16" i="129"/>
  <c r="H16" i="126"/>
  <c r="K16" i="130"/>
  <c r="I17" i="129"/>
  <c r="J17" i="129"/>
  <c r="J17" i="131"/>
  <c r="I17" i="131"/>
  <c r="J17" i="124"/>
  <c r="I17" i="124"/>
  <c r="H16" i="135"/>
  <c r="H16" i="129"/>
  <c r="K16" i="126"/>
  <c r="Y18" i="135"/>
  <c r="C19" i="135"/>
  <c r="B18" i="135"/>
  <c r="A18" i="135"/>
  <c r="C19" i="131"/>
  <c r="Y18" i="131"/>
  <c r="B18" i="131"/>
  <c r="A18" i="131"/>
  <c r="A18" i="128"/>
  <c r="C19" i="128"/>
  <c r="Y18" i="128"/>
  <c r="B18" i="128"/>
  <c r="Y18" i="125"/>
  <c r="C19" i="125"/>
  <c r="B18" i="125"/>
  <c r="A18" i="125"/>
  <c r="C19" i="126"/>
  <c r="Y18" i="126"/>
  <c r="A18" i="126"/>
  <c r="B18" i="126"/>
  <c r="M14" i="124" a="1"/>
  <c r="M14" i="124" s="1"/>
  <c r="O14" i="124" a="1"/>
  <c r="O14" i="124" s="1"/>
  <c r="Y18" i="132"/>
  <c r="B18" i="132"/>
  <c r="A18" i="132"/>
  <c r="C19" i="132"/>
  <c r="M14" i="129" a="1"/>
  <c r="M14" i="129" s="1"/>
  <c r="P14" i="129" a="1"/>
  <c r="P14" i="129" s="1"/>
  <c r="O14" i="129" a="1"/>
  <c r="O14" i="129" s="1"/>
  <c r="N14" i="129" a="1"/>
  <c r="N14" i="129" s="1"/>
  <c r="M14" i="127" a="1"/>
  <c r="M14" i="127" s="1"/>
  <c r="O14" i="127" a="1"/>
  <c r="O14" i="127" s="1"/>
  <c r="N14" i="127" a="1"/>
  <c r="N14" i="127" s="1"/>
  <c r="P14" i="127" a="1"/>
  <c r="P14" i="127" s="1"/>
  <c r="P14" i="130" a="1"/>
  <c r="P14" i="130" s="1"/>
  <c r="O14" i="130" a="1"/>
  <c r="O14" i="130" s="1"/>
  <c r="N14" i="130" a="1"/>
  <c r="N14" i="130" s="1"/>
  <c r="M14" i="130" a="1"/>
  <c r="M14" i="130" s="1"/>
  <c r="A18" i="133"/>
  <c r="Y18" i="133"/>
  <c r="C19" i="133"/>
  <c r="B18" i="133"/>
  <c r="Y18" i="130"/>
  <c r="C19" i="130"/>
  <c r="B18" i="130"/>
  <c r="A18" i="130"/>
  <c r="P14" i="131" a="1"/>
  <c r="P14" i="131" s="1"/>
  <c r="O14" i="131" a="1"/>
  <c r="O14" i="131" s="1"/>
  <c r="N14" i="131" a="1"/>
  <c r="N14" i="131" s="1"/>
  <c r="M14" i="131" a="1"/>
  <c r="M14" i="131" s="1"/>
  <c r="M14" i="126" a="1"/>
  <c r="M14" i="126" s="1"/>
  <c r="P14" i="126" a="1"/>
  <c r="P14" i="126" s="1"/>
  <c r="O14" i="126" a="1"/>
  <c r="O14" i="126" s="1"/>
  <c r="N14" i="126" a="1"/>
  <c r="N14" i="126" s="1"/>
  <c r="M14" i="128" a="1"/>
  <c r="M14" i="128" s="1"/>
  <c r="P14" i="128" a="1"/>
  <c r="P14" i="128" s="1"/>
  <c r="O14" i="128" a="1"/>
  <c r="O14" i="128" s="1"/>
  <c r="N14" i="128" a="1"/>
  <c r="N14" i="128" s="1"/>
  <c r="N14" i="125" a="1"/>
  <c r="N14" i="125" s="1"/>
  <c r="M14" i="125" a="1"/>
  <c r="M14" i="125" s="1"/>
  <c r="P14" i="125" a="1"/>
  <c r="P14" i="125" s="1"/>
  <c r="P14" i="133" a="1"/>
  <c r="P14" i="133" s="1"/>
  <c r="O14" i="133" a="1"/>
  <c r="O14" i="133" s="1"/>
  <c r="N14" i="133" a="1"/>
  <c r="N14" i="133" s="1"/>
  <c r="M14" i="133" a="1"/>
  <c r="M14" i="133" s="1"/>
  <c r="B18" i="124"/>
  <c r="A18" i="124"/>
  <c r="C19" i="124"/>
  <c r="Y18" i="124"/>
  <c r="Y18" i="127"/>
  <c r="C19" i="127"/>
  <c r="B18" i="127"/>
  <c r="A18" i="127"/>
  <c r="N14" i="135" a="1"/>
  <c r="N14" i="135" s="1"/>
  <c r="M14" i="135" a="1"/>
  <c r="M14" i="135" s="1"/>
  <c r="P14" i="135" a="1"/>
  <c r="P14" i="135" s="1"/>
  <c r="O14" i="135" a="1"/>
  <c r="O14" i="135" s="1"/>
  <c r="Y18" i="129"/>
  <c r="B18" i="129"/>
  <c r="A18" i="129"/>
  <c r="C19" i="129"/>
  <c r="C19" i="134"/>
  <c r="Y18" i="134"/>
  <c r="B18" i="134"/>
  <c r="A18" i="134"/>
  <c r="N14" i="134" a="1"/>
  <c r="N14" i="134" s="1"/>
  <c r="P14" i="134" a="1"/>
  <c r="P14" i="134" s="1"/>
  <c r="M14" i="134" a="1"/>
  <c r="M14" i="134" s="1"/>
  <c r="O14" i="134" a="1"/>
  <c r="O14" i="134" s="1"/>
  <c r="K15" i="111"/>
  <c r="L14" i="111"/>
  <c r="M14" i="111" s="1" a="1"/>
  <c r="M14" i="111" s="1"/>
  <c r="N13" i="111" a="1"/>
  <c r="N13" i="111" s="1"/>
  <c r="M13" i="111" a="1"/>
  <c r="M13" i="111" s="1"/>
  <c r="O13" i="111" a="1"/>
  <c r="O13" i="111" s="1"/>
  <c r="H15" i="111"/>
  <c r="J16" i="111"/>
  <c r="I16" i="111"/>
  <c r="T17" i="111" a="1"/>
  <c r="T17" i="111" s="1"/>
  <c r="A17" i="111"/>
  <c r="Y17" i="111"/>
  <c r="C18" i="111"/>
  <c r="B18" i="111" s="1"/>
  <c r="T34" i="56"/>
  <c r="N35" i="56"/>
  <c r="M35" i="56"/>
  <c r="O35" i="56"/>
  <c r="O36" i="56"/>
  <c r="N36" i="56"/>
  <c r="M36" i="56"/>
  <c r="P34" i="56"/>
  <c r="A38" i="56"/>
  <c r="C39" i="56"/>
  <c r="J18" i="125" a="1"/>
  <c r="I18" i="129" a="1"/>
  <c r="H17" i="135" a="1"/>
  <c r="H17" i="132" a="1"/>
  <c r="I18" i="127" a="1"/>
  <c r="T14" i="127" a="1"/>
  <c r="H17" i="131" a="1"/>
  <c r="H17" i="133" a="1"/>
  <c r="I18" i="130" a="1"/>
  <c r="T13" i="125" a="1"/>
  <c r="L15" i="128" a="1"/>
  <c r="I18" i="134" a="1"/>
  <c r="K17" i="131" a="1"/>
  <c r="J17" i="111" a="1"/>
  <c r="K17" i="126" a="1"/>
  <c r="J18" i="124" a="1"/>
  <c r="T13" i="131" a="1"/>
  <c r="L16" i="135" a="1"/>
  <c r="L15" i="132" a="1"/>
  <c r="L16" i="132" a="1"/>
  <c r="H17" i="124" a="1"/>
  <c r="H17" i="130" a="1"/>
  <c r="T13" i="132" a="1"/>
  <c r="H17" i="128" a="1"/>
  <c r="K17" i="130" a="1"/>
  <c r="J18" i="133" a="1"/>
  <c r="K17" i="132" a="1"/>
  <c r="H17" i="125" a="1"/>
  <c r="K17" i="127" a="1"/>
  <c r="K17" i="135" a="1"/>
  <c r="L15" i="134" a="1"/>
  <c r="I18" i="126" a="1"/>
  <c r="J18" i="126" a="1"/>
  <c r="K17" i="133" a="1"/>
  <c r="J18" i="132" a="1"/>
  <c r="J18" i="129" a="1"/>
  <c r="J18" i="128" a="1"/>
  <c r="T13" i="130" a="1"/>
  <c r="J18" i="130" a="1"/>
  <c r="K17" i="129" a="1"/>
  <c r="J18" i="134" a="1"/>
  <c r="I18" i="135" a="1"/>
  <c r="T13" i="135" a="1"/>
  <c r="L16" i="125" a="1"/>
  <c r="K16" i="111" a="1"/>
  <c r="I18" i="124" a="1"/>
  <c r="K17" i="125" a="1"/>
  <c r="I18" i="133" a="1"/>
  <c r="H17" i="126" a="1"/>
  <c r="H17" i="127" a="1"/>
  <c r="T14" i="130" a="1"/>
  <c r="I18" i="128" a="1"/>
  <c r="I18" i="131" a="1"/>
  <c r="T13" i="129" a="1"/>
  <c r="K17" i="134" a="1"/>
  <c r="T15" i="129" a="1"/>
  <c r="J18" i="127" a="1"/>
  <c r="I18" i="125" a="1"/>
  <c r="L15" i="130" a="1"/>
  <c r="T13" i="126" a="1"/>
  <c r="T13" i="134" a="1"/>
  <c r="L15" i="111" a="1"/>
  <c r="T13" i="128" a="1"/>
  <c r="I17" i="111" a="1"/>
  <c r="L15" i="127" a="1"/>
  <c r="T13" i="133" a="1"/>
  <c r="I18" i="132" a="1"/>
  <c r="H17" i="134" a="1"/>
  <c r="K17" i="128" a="1"/>
  <c r="T12" i="129" a="1"/>
  <c r="L16" i="129" a="1"/>
  <c r="J18" i="135" a="1"/>
  <c r="H17" i="129" a="1"/>
  <c r="H16" i="111" a="1"/>
  <c r="J18" i="131" a="1"/>
  <c r="K17" i="124" a="1"/>
  <c r="T14" i="128" a="1"/>
  <c r="L16" i="127" a="1"/>
  <c r="L15" i="132" l="1"/>
  <c r="T12" i="129"/>
  <c r="T13" i="135"/>
  <c r="T13" i="130"/>
  <c r="L15" i="134"/>
  <c r="P15" i="134" s="1" a="1"/>
  <c r="P15" i="134" s="1"/>
  <c r="P14" i="124" a="1"/>
  <c r="P14" i="124" s="1"/>
  <c r="L15" i="127"/>
  <c r="M15" i="127" s="1" a="1"/>
  <c r="M15" i="127" s="1"/>
  <c r="T13" i="132"/>
  <c r="L15" i="130"/>
  <c r="N15" i="130" s="1" a="1"/>
  <c r="N15" i="130" s="1"/>
  <c r="O14" i="132" a="1"/>
  <c r="O14" i="132" s="1"/>
  <c r="P14" i="132" a="1"/>
  <c r="P14" i="132" s="1"/>
  <c r="M14" i="132" a="1"/>
  <c r="M14" i="132" s="1"/>
  <c r="L15" i="128"/>
  <c r="O15" i="128" s="1" a="1"/>
  <c r="O15" i="128" s="1"/>
  <c r="T13" i="133"/>
  <c r="T13" i="129"/>
  <c r="T13" i="125"/>
  <c r="T13" i="128"/>
  <c r="T14" i="128"/>
  <c r="T13" i="134"/>
  <c r="T13" i="126"/>
  <c r="T14" i="127"/>
  <c r="T14" i="130"/>
  <c r="T15" i="129"/>
  <c r="T13" i="131"/>
  <c r="P14" i="111" a="1"/>
  <c r="P14" i="111" s="1"/>
  <c r="O14" i="111" a="1"/>
  <c r="O14" i="111" s="1"/>
  <c r="L16" i="129"/>
  <c r="L16" i="125"/>
  <c r="J18" i="127"/>
  <c r="I18" i="127"/>
  <c r="J18" i="134"/>
  <c r="I18" i="134"/>
  <c r="J18" i="130"/>
  <c r="I18" i="130"/>
  <c r="J18" i="126"/>
  <c r="I18" i="126"/>
  <c r="J18" i="135"/>
  <c r="I18" i="135"/>
  <c r="K17" i="124"/>
  <c r="H17" i="128"/>
  <c r="K17" i="126"/>
  <c r="H17" i="134"/>
  <c r="J18" i="132"/>
  <c r="I18" i="132"/>
  <c r="H17" i="131"/>
  <c r="H17" i="132"/>
  <c r="H17" i="126"/>
  <c r="K17" i="134"/>
  <c r="K17" i="131"/>
  <c r="K17" i="133"/>
  <c r="J18" i="129"/>
  <c r="I18" i="129"/>
  <c r="J18" i="125"/>
  <c r="I18" i="125"/>
  <c r="K17" i="132"/>
  <c r="L16" i="127"/>
  <c r="K17" i="129"/>
  <c r="H17" i="133"/>
  <c r="J18" i="124"/>
  <c r="I18" i="124"/>
  <c r="J18" i="133"/>
  <c r="I18" i="133"/>
  <c r="J18" i="131"/>
  <c r="I18" i="131"/>
  <c r="H17" i="129"/>
  <c r="K17" i="127"/>
  <c r="H17" i="125"/>
  <c r="L16" i="132"/>
  <c r="J18" i="128"/>
  <c r="I18" i="128"/>
  <c r="H17" i="127"/>
  <c r="H17" i="130"/>
  <c r="K17" i="125"/>
  <c r="L16" i="135"/>
  <c r="K17" i="130"/>
  <c r="H17" i="135"/>
  <c r="H17" i="124"/>
  <c r="K17" i="135"/>
  <c r="K17" i="128"/>
  <c r="Y19" i="127"/>
  <c r="C20" i="127"/>
  <c r="B19" i="127"/>
  <c r="A19" i="127"/>
  <c r="M15" i="129" a="1"/>
  <c r="M15" i="129" s="1"/>
  <c r="P15" i="129" a="1"/>
  <c r="P15" i="129" s="1"/>
  <c r="O15" i="129" a="1"/>
  <c r="O15" i="129" s="1"/>
  <c r="N15" i="129" a="1"/>
  <c r="N15" i="129" s="1"/>
  <c r="Y19" i="135"/>
  <c r="C20" i="135"/>
  <c r="B19" i="135"/>
  <c r="A19" i="135"/>
  <c r="N15" i="135" a="1"/>
  <c r="N15" i="135" s="1"/>
  <c r="M15" i="135" a="1"/>
  <c r="M15" i="135" s="1"/>
  <c r="P15" i="135" a="1"/>
  <c r="P15" i="135" s="1"/>
  <c r="O15" i="135" a="1"/>
  <c r="O15" i="135" s="1"/>
  <c r="Y19" i="130"/>
  <c r="C20" i="130"/>
  <c r="B19" i="130"/>
  <c r="A19" i="130"/>
  <c r="N15" i="126" a="1"/>
  <c r="N15" i="126" s="1"/>
  <c r="M15" i="126" a="1"/>
  <c r="M15" i="126" s="1"/>
  <c r="P15" i="126" a="1"/>
  <c r="P15" i="126" s="1"/>
  <c r="O15" i="126" a="1"/>
  <c r="O15" i="126" s="1"/>
  <c r="N15" i="134" a="1"/>
  <c r="N15" i="134" s="1"/>
  <c r="O15" i="134" a="1"/>
  <c r="O15" i="134" s="1"/>
  <c r="C20" i="126"/>
  <c r="B19" i="126"/>
  <c r="A19" i="126"/>
  <c r="Y19" i="126"/>
  <c r="Y19" i="125"/>
  <c r="C20" i="125"/>
  <c r="B19" i="125"/>
  <c r="A19" i="125"/>
  <c r="P15" i="127" a="1"/>
  <c r="P15" i="127" s="1"/>
  <c r="O15" i="130" a="1"/>
  <c r="O15" i="130" s="1"/>
  <c r="M15" i="130" a="1"/>
  <c r="M15" i="130" s="1"/>
  <c r="C20" i="134"/>
  <c r="Y19" i="134"/>
  <c r="B19" i="134"/>
  <c r="A19" i="134"/>
  <c r="B19" i="129"/>
  <c r="A19" i="129"/>
  <c r="C20" i="129"/>
  <c r="Y19" i="129"/>
  <c r="Y19" i="124"/>
  <c r="B19" i="124"/>
  <c r="A19" i="124"/>
  <c r="C20" i="124"/>
  <c r="N15" i="132" a="1"/>
  <c r="N15" i="132" s="1"/>
  <c r="M15" i="132" a="1"/>
  <c r="M15" i="132" s="1"/>
  <c r="P15" i="132" a="1"/>
  <c r="P15" i="132" s="1"/>
  <c r="O15" i="132" a="1"/>
  <c r="O15" i="132" s="1"/>
  <c r="N15" i="131" a="1"/>
  <c r="N15" i="131" s="1"/>
  <c r="M15" i="131" a="1"/>
  <c r="M15" i="131" s="1"/>
  <c r="P15" i="131" a="1"/>
  <c r="P15" i="131" s="1"/>
  <c r="O15" i="131" a="1"/>
  <c r="O15" i="131" s="1"/>
  <c r="O15" i="133" a="1"/>
  <c r="O15" i="133" s="1"/>
  <c r="P15" i="133" a="1"/>
  <c r="P15" i="133" s="1"/>
  <c r="N15" i="133" a="1"/>
  <c r="N15" i="133" s="1"/>
  <c r="M15" i="133" a="1"/>
  <c r="M15" i="133" s="1"/>
  <c r="A19" i="133"/>
  <c r="B19" i="133"/>
  <c r="C20" i="133"/>
  <c r="Y19" i="133"/>
  <c r="C20" i="131"/>
  <c r="B19" i="131"/>
  <c r="A19" i="131"/>
  <c r="Y19" i="131"/>
  <c r="A19" i="132"/>
  <c r="C20" i="132"/>
  <c r="B19" i="132"/>
  <c r="Y19" i="132"/>
  <c r="B19" i="128"/>
  <c r="A19" i="128"/>
  <c r="C20" i="128"/>
  <c r="Y19" i="128"/>
  <c r="N15" i="125" a="1"/>
  <c r="N15" i="125" s="1"/>
  <c r="M15" i="125" a="1"/>
  <c r="M15" i="125" s="1"/>
  <c r="P15" i="125" a="1"/>
  <c r="P15" i="125" s="1"/>
  <c r="O15" i="125" a="1"/>
  <c r="O15" i="125" s="1"/>
  <c r="O15" i="124" a="1"/>
  <c r="O15" i="124" s="1"/>
  <c r="N15" i="124" a="1"/>
  <c r="N15" i="124" s="1"/>
  <c r="M15" i="124" a="1"/>
  <c r="M15" i="124" s="1"/>
  <c r="P15" i="124" a="1"/>
  <c r="P15" i="124" s="1"/>
  <c r="K16" i="111"/>
  <c r="N14" i="111" a="1"/>
  <c r="N14" i="111" s="1"/>
  <c r="L15" i="111"/>
  <c r="J17" i="111"/>
  <c r="I17" i="111"/>
  <c r="H16" i="111"/>
  <c r="T18" i="111" a="1"/>
  <c r="T18" i="111" s="1"/>
  <c r="C19" i="111"/>
  <c r="B19" i="111" s="1"/>
  <c r="Y18" i="111"/>
  <c r="A18" i="111"/>
  <c r="T35" i="56"/>
  <c r="T36" i="56"/>
  <c r="P36" i="56"/>
  <c r="P35" i="56"/>
  <c r="C40" i="56"/>
  <c r="A39" i="56"/>
  <c r="L16" i="130" a="1"/>
  <c r="H18" i="133" a="1"/>
  <c r="L16" i="128" a="1"/>
  <c r="T14" i="129" a="1"/>
  <c r="I19" i="124" a="1"/>
  <c r="K18" i="135" a="1"/>
  <c r="J19" i="124" a="1"/>
  <c r="T14" i="125" a="1"/>
  <c r="H18" i="126" a="1"/>
  <c r="T14" i="124" a="1"/>
  <c r="I19" i="125" a="1"/>
  <c r="T14" i="133" a="1"/>
  <c r="I19" i="134" a="1"/>
  <c r="J19" i="131" a="1"/>
  <c r="H18" i="132" a="1"/>
  <c r="L17" i="134" a="1"/>
  <c r="L16" i="133" a="1"/>
  <c r="J19" i="132" a="1"/>
  <c r="I18" i="111" a="1"/>
  <c r="K18" i="131" a="1"/>
  <c r="J19" i="134" a="1"/>
  <c r="H18" i="127" a="1"/>
  <c r="L16" i="111" a="1"/>
  <c r="J19" i="129" a="1"/>
  <c r="K18" i="128" a="1"/>
  <c r="I19" i="128" a="1"/>
  <c r="T14" i="131" a="1"/>
  <c r="T14" i="126" a="1"/>
  <c r="T15" i="132" a="1"/>
  <c r="L16" i="131" a="1"/>
  <c r="L17" i="130" a="1"/>
  <c r="J19" i="133" a="1"/>
  <c r="K17" i="111" a="1"/>
  <c r="K18" i="125" a="1"/>
  <c r="K18" i="130" a="1"/>
  <c r="I19" i="127" a="1"/>
  <c r="K18" i="129" a="1"/>
  <c r="J19" i="125" a="1"/>
  <c r="J19" i="128" a="1"/>
  <c r="H18" i="131" a="1"/>
  <c r="I19" i="133" a="1"/>
  <c r="K18" i="127" a="1"/>
  <c r="L17" i="131" a="1"/>
  <c r="H18" i="125" a="1"/>
  <c r="J19" i="135" a="1"/>
  <c r="I19" i="129" a="1"/>
  <c r="J19" i="126" a="1"/>
  <c r="K18" i="124" a="1"/>
  <c r="H18" i="124" a="1"/>
  <c r="I19" i="126" a="1"/>
  <c r="L17" i="132" a="1"/>
  <c r="H18" i="135" a="1"/>
  <c r="K18" i="132" a="1"/>
  <c r="K18" i="134" a="1"/>
  <c r="H17" i="111" a="1"/>
  <c r="T14" i="134" a="1"/>
  <c r="H18" i="130" a="1"/>
  <c r="L17" i="127" a="1"/>
  <c r="I19" i="132" a="1"/>
  <c r="I19" i="135" a="1"/>
  <c r="J19" i="127" a="1"/>
  <c r="L16" i="124" a="1"/>
  <c r="I19" i="130" a="1"/>
  <c r="L16" i="134" a="1"/>
  <c r="K18" i="133" a="1"/>
  <c r="K18" i="126" a="1"/>
  <c r="T14" i="132" a="1"/>
  <c r="H18" i="134" a="1"/>
  <c r="L17" i="124" a="1"/>
  <c r="J18" i="111" a="1"/>
  <c r="L16" i="126" a="1"/>
  <c r="H18" i="129" a="1"/>
  <c r="J19" i="130" a="1"/>
  <c r="I19" i="131" a="1"/>
  <c r="H18" i="128" a="1"/>
  <c r="T16" i="125" a="1"/>
  <c r="T14" i="131" l="1"/>
  <c r="T14" i="133"/>
  <c r="M15" i="134" a="1"/>
  <c r="M15" i="134" s="1"/>
  <c r="T14" i="129"/>
  <c r="L16" i="134"/>
  <c r="P16" i="134" s="1" a="1"/>
  <c r="P16" i="134" s="1"/>
  <c r="L16" i="130"/>
  <c r="P15" i="128" a="1"/>
  <c r="P15" i="128" s="1"/>
  <c r="L16" i="128"/>
  <c r="P16" i="128" s="1" a="1"/>
  <c r="P16" i="128" s="1"/>
  <c r="M15" i="128" a="1"/>
  <c r="M15" i="128" s="1"/>
  <c r="N15" i="127" a="1"/>
  <c r="N15" i="127" s="1"/>
  <c r="O15" i="127" a="1"/>
  <c r="O15" i="127" s="1"/>
  <c r="P15" i="130" a="1"/>
  <c r="P15" i="130" s="1"/>
  <c r="L16" i="133"/>
  <c r="N16" i="133" s="1" a="1"/>
  <c r="N16" i="133" s="1"/>
  <c r="T14" i="132"/>
  <c r="N15" i="128" a="1"/>
  <c r="N15" i="128" s="1"/>
  <c r="L16" i="124"/>
  <c r="M16" i="124" s="1" a="1"/>
  <c r="M16" i="124" s="1"/>
  <c r="L16" i="131"/>
  <c r="O16" i="131" s="1" a="1"/>
  <c r="O16" i="131" s="1"/>
  <c r="L16" i="126"/>
  <c r="P16" i="126" s="1" a="1"/>
  <c r="P16" i="126" s="1"/>
  <c r="T14" i="126"/>
  <c r="T15" i="132"/>
  <c r="T16" i="125"/>
  <c r="T14" i="124"/>
  <c r="T14" i="134"/>
  <c r="T14" i="125"/>
  <c r="L17" i="131"/>
  <c r="L17" i="130"/>
  <c r="L17" i="124"/>
  <c r="L17" i="127"/>
  <c r="J19" i="134"/>
  <c r="I19" i="134"/>
  <c r="L17" i="134"/>
  <c r="J19" i="130"/>
  <c r="I19" i="130"/>
  <c r="J19" i="128"/>
  <c r="I19" i="128"/>
  <c r="J19" i="131"/>
  <c r="I19" i="131"/>
  <c r="K18" i="128"/>
  <c r="H18" i="133"/>
  <c r="H18" i="125"/>
  <c r="K18" i="134"/>
  <c r="J19" i="135"/>
  <c r="I19" i="135"/>
  <c r="K18" i="133"/>
  <c r="K18" i="125"/>
  <c r="H18" i="135"/>
  <c r="H18" i="127"/>
  <c r="J19" i="126"/>
  <c r="I19" i="126"/>
  <c r="K18" i="135"/>
  <c r="K18" i="127"/>
  <c r="I19" i="132"/>
  <c r="J19" i="132"/>
  <c r="H18" i="124"/>
  <c r="J19" i="129"/>
  <c r="I19" i="129"/>
  <c r="K18" i="124"/>
  <c r="H18" i="129"/>
  <c r="H18" i="132"/>
  <c r="H18" i="126"/>
  <c r="J19" i="133"/>
  <c r="I19" i="133"/>
  <c r="J19" i="125"/>
  <c r="I19" i="125"/>
  <c r="K18" i="129"/>
  <c r="K18" i="132"/>
  <c r="K18" i="126"/>
  <c r="H18" i="131"/>
  <c r="H18" i="130"/>
  <c r="I19" i="124"/>
  <c r="J19" i="124"/>
  <c r="L17" i="132"/>
  <c r="K18" i="131"/>
  <c r="K18" i="130"/>
  <c r="J19" i="127"/>
  <c r="I19" i="127"/>
  <c r="H18" i="128"/>
  <c r="H18" i="134"/>
  <c r="C21" i="134"/>
  <c r="Y20" i="134"/>
  <c r="B20" i="134"/>
  <c r="A20" i="134"/>
  <c r="Y20" i="127"/>
  <c r="C21" i="127"/>
  <c r="B20" i="127"/>
  <c r="A20" i="127"/>
  <c r="Y20" i="129"/>
  <c r="B20" i="129"/>
  <c r="A20" i="129"/>
  <c r="C21" i="129"/>
  <c r="N16" i="132" a="1"/>
  <c r="N16" i="132" s="1"/>
  <c r="M16" i="132" a="1"/>
  <c r="M16" i="132" s="1"/>
  <c r="P16" i="132" a="1"/>
  <c r="P16" i="132" s="1"/>
  <c r="O16" i="132" a="1"/>
  <c r="O16" i="132" s="1"/>
  <c r="C21" i="131"/>
  <c r="Y20" i="131"/>
  <c r="B20" i="131"/>
  <c r="A20" i="131"/>
  <c r="N16" i="134" a="1"/>
  <c r="N16" i="134" s="1"/>
  <c r="O16" i="134" a="1"/>
  <c r="O16" i="134" s="1"/>
  <c r="N16" i="135" a="1"/>
  <c r="N16" i="135" s="1"/>
  <c r="M16" i="135" a="1"/>
  <c r="M16" i="135" s="1"/>
  <c r="P16" i="135" a="1"/>
  <c r="P16" i="135" s="1"/>
  <c r="O16" i="135" a="1"/>
  <c r="O16" i="135" s="1"/>
  <c r="C21" i="126"/>
  <c r="Y20" i="126"/>
  <c r="B20" i="126"/>
  <c r="A20" i="126"/>
  <c r="Y20" i="135"/>
  <c r="C21" i="135"/>
  <c r="B20" i="135"/>
  <c r="A20" i="135"/>
  <c r="A20" i="132"/>
  <c r="Y20" i="132"/>
  <c r="B20" i="132"/>
  <c r="C21" i="132"/>
  <c r="A20" i="133"/>
  <c r="Y20" i="133"/>
  <c r="C21" i="133"/>
  <c r="B20" i="133"/>
  <c r="C21" i="124"/>
  <c r="Y20" i="124"/>
  <c r="A20" i="124"/>
  <c r="B20" i="124"/>
  <c r="N16" i="125" a="1"/>
  <c r="N16" i="125" s="1"/>
  <c r="M16" i="125" a="1"/>
  <c r="M16" i="125" s="1"/>
  <c r="P16" i="125" a="1"/>
  <c r="P16" i="125" s="1"/>
  <c r="O16" i="125" a="1"/>
  <c r="O16" i="125" s="1"/>
  <c r="M16" i="129" a="1"/>
  <c r="M16" i="129" s="1"/>
  <c r="P16" i="129" a="1"/>
  <c r="P16" i="129" s="1"/>
  <c r="O16" i="129" a="1"/>
  <c r="O16" i="129" s="1"/>
  <c r="N16" i="129" a="1"/>
  <c r="N16" i="129" s="1"/>
  <c r="Y20" i="125"/>
  <c r="B20" i="125"/>
  <c r="A20" i="125"/>
  <c r="C21" i="125"/>
  <c r="M16" i="127" a="1"/>
  <c r="M16" i="127" s="1"/>
  <c r="P16" i="127" a="1"/>
  <c r="P16" i="127" s="1"/>
  <c r="O16" i="127" a="1"/>
  <c r="O16" i="127" s="1"/>
  <c r="N16" i="127" a="1"/>
  <c r="N16" i="127" s="1"/>
  <c r="Y20" i="128"/>
  <c r="B20" i="128"/>
  <c r="A20" i="128"/>
  <c r="C21" i="128"/>
  <c r="Y20" i="130"/>
  <c r="B20" i="130"/>
  <c r="A20" i="130"/>
  <c r="C21" i="130"/>
  <c r="N16" i="130" a="1"/>
  <c r="N16" i="130" s="1"/>
  <c r="O16" i="130" a="1"/>
  <c r="O16" i="130" s="1"/>
  <c r="M16" i="130" a="1"/>
  <c r="M16" i="130" s="1"/>
  <c r="P16" i="130" a="1"/>
  <c r="P16" i="130" s="1"/>
  <c r="K17" i="111"/>
  <c r="L16" i="111"/>
  <c r="M15" i="111" a="1"/>
  <c r="M15" i="111" s="1"/>
  <c r="N15" i="111" a="1"/>
  <c r="N15" i="111" s="1"/>
  <c r="O15" i="111" a="1"/>
  <c r="O15" i="111" s="1"/>
  <c r="P15" i="111" a="1"/>
  <c r="P15" i="111" s="1"/>
  <c r="J18" i="111"/>
  <c r="I18" i="111"/>
  <c r="H17" i="111"/>
  <c r="T19" i="111" a="1"/>
  <c r="T19" i="111" s="1"/>
  <c r="C20" i="111"/>
  <c r="B20" i="111" s="1"/>
  <c r="A19" i="111"/>
  <c r="Y19" i="111"/>
  <c r="C41" i="56"/>
  <c r="A40" i="56"/>
  <c r="L18" i="135" a="1"/>
  <c r="J20" i="128" a="1"/>
  <c r="H19" i="127" a="1"/>
  <c r="I20" i="134" a="1"/>
  <c r="K19" i="129" a="1"/>
  <c r="J20" i="135" a="1"/>
  <c r="L18" i="124" a="1"/>
  <c r="J20" i="127" a="1"/>
  <c r="L18" i="130" a="1"/>
  <c r="K19" i="135" a="1"/>
  <c r="T15" i="135" a="1"/>
  <c r="K19" i="130" a="1"/>
  <c r="I20" i="126" a="1"/>
  <c r="L18" i="125" a="1"/>
  <c r="L18" i="131" a="1"/>
  <c r="H18" i="111" a="1"/>
  <c r="J20" i="132" a="1"/>
  <c r="K19" i="128" a="1"/>
  <c r="I20" i="129" a="1"/>
  <c r="T15" i="125" a="1"/>
  <c r="H19" i="132" a="1"/>
  <c r="L17" i="135" a="1"/>
  <c r="L17" i="111" a="1"/>
  <c r="T16" i="134" a="1"/>
  <c r="L17" i="128" a="1"/>
  <c r="I20" i="125" a="1"/>
  <c r="J20" i="124" a="1"/>
  <c r="H19" i="126" a="1"/>
  <c r="K19" i="134" a="1"/>
  <c r="T15" i="126" a="1"/>
  <c r="I20" i="131" a="1"/>
  <c r="I20" i="128" a="1"/>
  <c r="K19" i="125" a="1"/>
  <c r="T15" i="134" a="1"/>
  <c r="H19" i="135" a="1"/>
  <c r="J20" i="131" a="1"/>
  <c r="I20" i="132" a="1"/>
  <c r="H19" i="131" a="1"/>
  <c r="L17" i="126" a="1"/>
  <c r="K19" i="127" a="1"/>
  <c r="I20" i="135" a="1"/>
  <c r="H19" i="125" a="1"/>
  <c r="H19" i="129" a="1"/>
  <c r="K19" i="126" a="1"/>
  <c r="T16" i="129" a="1"/>
  <c r="I20" i="127" a="1"/>
  <c r="H19" i="134" a="1"/>
  <c r="J20" i="133" a="1"/>
  <c r="J19" i="111" a="1"/>
  <c r="I19" i="111" a="1"/>
  <c r="H19" i="130" a="1"/>
  <c r="T15" i="131" a="1"/>
  <c r="T15" i="133" a="1"/>
  <c r="H19" i="133" a="1"/>
  <c r="J20" i="125" a="1"/>
  <c r="I20" i="130" a="1"/>
  <c r="K19" i="131" a="1"/>
  <c r="L18" i="129" a="1"/>
  <c r="J20" i="126" a="1"/>
  <c r="J20" i="129" a="1"/>
  <c r="L17" i="129" a="1"/>
  <c r="T15" i="130" a="1"/>
  <c r="J20" i="134" a="1"/>
  <c r="L17" i="125" a="1"/>
  <c r="I20" i="124" a="1"/>
  <c r="H19" i="128" a="1"/>
  <c r="K19" i="132" a="1"/>
  <c r="H19" i="124" a="1"/>
  <c r="K19" i="133" a="1"/>
  <c r="T15" i="127" a="1"/>
  <c r="K19" i="124" a="1"/>
  <c r="J20" i="130" a="1"/>
  <c r="L17" i="133" a="1"/>
  <c r="L18" i="126" a="1"/>
  <c r="K18" i="111" a="1"/>
  <c r="I20" i="133" a="1"/>
  <c r="T15" i="124" a="1"/>
  <c r="L18" i="132" a="1"/>
  <c r="L18" i="128" a="1"/>
  <c r="T17" i="131" a="1"/>
  <c r="T15" i="134" l="1"/>
  <c r="L17" i="135"/>
  <c r="L17" i="128"/>
  <c r="M16" i="131" a="1"/>
  <c r="M16" i="131" s="1"/>
  <c r="N16" i="131" a="1"/>
  <c r="N16" i="131" s="1"/>
  <c r="M16" i="134" a="1"/>
  <c r="M16" i="134" s="1"/>
  <c r="P16" i="131" a="1"/>
  <c r="P16" i="131" s="1"/>
  <c r="M16" i="126" a="1"/>
  <c r="M16" i="126" s="1"/>
  <c r="L17" i="126"/>
  <c r="T15" i="126"/>
  <c r="T16" i="134"/>
  <c r="P16" i="124" a="1"/>
  <c r="P16" i="124" s="1"/>
  <c r="N16" i="126" a="1"/>
  <c r="N16" i="126" s="1"/>
  <c r="O16" i="126" a="1"/>
  <c r="O16" i="126" s="1"/>
  <c r="M16" i="133" a="1"/>
  <c r="M16" i="133" s="1"/>
  <c r="O16" i="128" a="1"/>
  <c r="O16" i="128" s="1"/>
  <c r="O16" i="133" a="1"/>
  <c r="O16" i="133" s="1"/>
  <c r="P16" i="133" a="1"/>
  <c r="P16" i="133" s="1"/>
  <c r="T15" i="125"/>
  <c r="L17" i="133"/>
  <c r="N17" i="133" s="1" a="1"/>
  <c r="N17" i="133" s="1"/>
  <c r="L17" i="129"/>
  <c r="M17" i="129" s="1" a="1"/>
  <c r="M17" i="129" s="1"/>
  <c r="N16" i="124" a="1"/>
  <c r="N16" i="124" s="1"/>
  <c r="M16" i="128" a="1"/>
  <c r="M16" i="128" s="1"/>
  <c r="O16" i="124" a="1"/>
  <c r="O16" i="124" s="1"/>
  <c r="N16" i="128" a="1"/>
  <c r="N16" i="128" s="1"/>
  <c r="T15" i="124"/>
  <c r="L17" i="125"/>
  <c r="N17" i="125" s="1" a="1"/>
  <c r="N17" i="125" s="1"/>
  <c r="T15" i="130"/>
  <c r="T15" i="131"/>
  <c r="T16" i="129"/>
  <c r="T17" i="131"/>
  <c r="T15" i="135"/>
  <c r="T15" i="133"/>
  <c r="T15" i="127"/>
  <c r="L18" i="130"/>
  <c r="L18" i="124"/>
  <c r="L18" i="126"/>
  <c r="J20" i="130"/>
  <c r="I20" i="130"/>
  <c r="H19" i="127"/>
  <c r="K19" i="127"/>
  <c r="J20" i="133"/>
  <c r="I20" i="133"/>
  <c r="L18" i="135"/>
  <c r="K19" i="132"/>
  <c r="L18" i="128"/>
  <c r="J20" i="128"/>
  <c r="I20" i="128"/>
  <c r="J20" i="135"/>
  <c r="I20" i="135"/>
  <c r="J20" i="127"/>
  <c r="I20" i="127"/>
  <c r="H19" i="132"/>
  <c r="H19" i="131"/>
  <c r="H19" i="134"/>
  <c r="L18" i="131"/>
  <c r="K19" i="131"/>
  <c r="K19" i="134"/>
  <c r="I20" i="126"/>
  <c r="J20" i="126"/>
  <c r="J20" i="124"/>
  <c r="I20" i="124"/>
  <c r="H19" i="125"/>
  <c r="H19" i="135"/>
  <c r="H19" i="128"/>
  <c r="I20" i="131"/>
  <c r="J20" i="131"/>
  <c r="I20" i="129"/>
  <c r="J20" i="129"/>
  <c r="K19" i="124"/>
  <c r="K19" i="125"/>
  <c r="K19" i="135"/>
  <c r="K19" i="128"/>
  <c r="H19" i="124"/>
  <c r="H19" i="133"/>
  <c r="H19" i="129"/>
  <c r="H19" i="126"/>
  <c r="L18" i="132"/>
  <c r="K19" i="133"/>
  <c r="K19" i="129"/>
  <c r="K19" i="126"/>
  <c r="H19" i="130"/>
  <c r="J20" i="132"/>
  <c r="I20" i="132"/>
  <c r="J20" i="125"/>
  <c r="I20" i="125"/>
  <c r="L18" i="129"/>
  <c r="L18" i="125"/>
  <c r="J20" i="134"/>
  <c r="I20" i="134"/>
  <c r="K19" i="130"/>
  <c r="B21" i="124"/>
  <c r="A21" i="124"/>
  <c r="C22" i="124"/>
  <c r="Y21" i="124"/>
  <c r="C22" i="131"/>
  <c r="Y21" i="131"/>
  <c r="B21" i="131"/>
  <c r="A21" i="131"/>
  <c r="C22" i="126"/>
  <c r="A21" i="126"/>
  <c r="Y21" i="126"/>
  <c r="B21" i="126"/>
  <c r="P17" i="129" a="1"/>
  <c r="P17" i="129" s="1"/>
  <c r="N17" i="134" a="1"/>
  <c r="N17" i="134" s="1"/>
  <c r="P17" i="134" a="1"/>
  <c r="P17" i="134" s="1"/>
  <c r="M17" i="134" a="1"/>
  <c r="M17" i="134" s="1"/>
  <c r="O17" i="134" a="1"/>
  <c r="O17" i="134" s="1"/>
  <c r="A21" i="133"/>
  <c r="Y21" i="133"/>
  <c r="C22" i="133"/>
  <c r="B21" i="133"/>
  <c r="C22" i="134"/>
  <c r="Y21" i="134"/>
  <c r="B21" i="134"/>
  <c r="A21" i="134"/>
  <c r="N17" i="132" a="1"/>
  <c r="N17" i="132" s="1"/>
  <c r="M17" i="132" a="1"/>
  <c r="M17" i="132" s="1"/>
  <c r="P17" i="132" a="1"/>
  <c r="P17" i="132" s="1"/>
  <c r="O17" i="132" a="1"/>
  <c r="O17" i="132" s="1"/>
  <c r="M17" i="126" a="1"/>
  <c r="M17" i="126" s="1"/>
  <c r="P17" i="126" a="1"/>
  <c r="P17" i="126" s="1"/>
  <c r="O17" i="126" a="1"/>
  <c r="O17" i="126" s="1"/>
  <c r="N17" i="126" a="1"/>
  <c r="N17" i="126" s="1"/>
  <c r="Y21" i="135"/>
  <c r="C22" i="135"/>
  <c r="B21" i="135"/>
  <c r="A21" i="135"/>
  <c r="Y21" i="127"/>
  <c r="C22" i="127"/>
  <c r="B21" i="127"/>
  <c r="A21" i="127"/>
  <c r="Y21" i="130"/>
  <c r="A21" i="130"/>
  <c r="C22" i="130"/>
  <c r="B21" i="130"/>
  <c r="C22" i="129"/>
  <c r="Y21" i="129"/>
  <c r="B21" i="129"/>
  <c r="A21" i="129"/>
  <c r="N17" i="135" a="1"/>
  <c r="N17" i="135" s="1"/>
  <c r="M17" i="135" a="1"/>
  <c r="M17" i="135" s="1"/>
  <c r="P17" i="135" a="1"/>
  <c r="P17" i="135" s="1"/>
  <c r="O17" i="135" a="1"/>
  <c r="O17" i="135" s="1"/>
  <c r="Y21" i="125"/>
  <c r="A21" i="125"/>
  <c r="C22" i="125"/>
  <c r="B21" i="125"/>
  <c r="A21" i="132"/>
  <c r="B21" i="132"/>
  <c r="C22" i="132"/>
  <c r="Y21" i="132"/>
  <c r="M17" i="127" a="1"/>
  <c r="M17" i="127" s="1"/>
  <c r="P17" i="127" a="1"/>
  <c r="P17" i="127" s="1"/>
  <c r="O17" i="127" a="1"/>
  <c r="O17" i="127" s="1"/>
  <c r="N17" i="127" a="1"/>
  <c r="N17" i="127" s="1"/>
  <c r="N17" i="128" a="1"/>
  <c r="N17" i="128" s="1"/>
  <c r="M17" i="128" a="1"/>
  <c r="M17" i="128" s="1"/>
  <c r="P17" i="128" a="1"/>
  <c r="P17" i="128" s="1"/>
  <c r="O17" i="128" a="1"/>
  <c r="O17" i="128" s="1"/>
  <c r="N17" i="124" a="1"/>
  <c r="N17" i="124" s="1"/>
  <c r="M17" i="124" a="1"/>
  <c r="M17" i="124" s="1"/>
  <c r="P17" i="124" a="1"/>
  <c r="P17" i="124" s="1"/>
  <c r="O17" i="124" a="1"/>
  <c r="O17" i="124" s="1"/>
  <c r="N17" i="130" a="1"/>
  <c r="N17" i="130" s="1"/>
  <c r="O17" i="130" a="1"/>
  <c r="O17" i="130" s="1"/>
  <c r="M17" i="130" a="1"/>
  <c r="M17" i="130" s="1"/>
  <c r="P17" i="130" a="1"/>
  <c r="P17" i="130" s="1"/>
  <c r="B21" i="128"/>
  <c r="A21" i="128"/>
  <c r="C22" i="128"/>
  <c r="Y21" i="128"/>
  <c r="M17" i="131" a="1"/>
  <c r="M17" i="131" s="1"/>
  <c r="P17" i="131" a="1"/>
  <c r="P17" i="131" s="1"/>
  <c r="O17" i="131" a="1"/>
  <c r="O17" i="131" s="1"/>
  <c r="N17" i="131" a="1"/>
  <c r="N17" i="131" s="1"/>
  <c r="K18" i="111"/>
  <c r="L17" i="111"/>
  <c r="M16" i="111" a="1"/>
  <c r="M16" i="111" s="1"/>
  <c r="N16" i="111" a="1"/>
  <c r="N16" i="111" s="1"/>
  <c r="O16" i="111" a="1"/>
  <c r="O16" i="111" s="1"/>
  <c r="P16" i="111" a="1"/>
  <c r="P16" i="111" s="1"/>
  <c r="J19" i="111"/>
  <c r="I19" i="111"/>
  <c r="H18" i="111"/>
  <c r="T20" i="111" a="1"/>
  <c r="T20" i="111" s="1"/>
  <c r="A20" i="111"/>
  <c r="C21" i="111"/>
  <c r="B21" i="111" s="1"/>
  <c r="Y20" i="111"/>
  <c r="L39" i="56"/>
  <c r="L40" i="56"/>
  <c r="C42" i="56"/>
  <c r="A41" i="56"/>
  <c r="L41" i="56" s="1"/>
  <c r="T16" i="126" a="1"/>
  <c r="K20" i="134" a="1"/>
  <c r="L19" i="124" a="1"/>
  <c r="K20" i="127" a="1"/>
  <c r="J21" i="127" a="1"/>
  <c r="K20" i="124" a="1"/>
  <c r="T16" i="132" a="1"/>
  <c r="I21" i="126" a="1"/>
  <c r="H20" i="124" a="1"/>
  <c r="T16" i="127" a="1"/>
  <c r="J20" i="111" a="1"/>
  <c r="I21" i="131" a="1"/>
  <c r="L18" i="127" a="1"/>
  <c r="H20" i="135" a="1"/>
  <c r="I21" i="128" a="1"/>
  <c r="T15" i="128" a="1"/>
  <c r="K20" i="128" a="1"/>
  <c r="J21" i="128" a="1"/>
  <c r="T16" i="130" a="1"/>
  <c r="J21" i="133" a="1"/>
  <c r="T16" i="124" a="1"/>
  <c r="J21" i="131" a="1"/>
  <c r="J21" i="134" a="1"/>
  <c r="H20" i="131" a="1"/>
  <c r="T16" i="135" a="1"/>
  <c r="J21" i="132" a="1"/>
  <c r="L18" i="133" a="1"/>
  <c r="H20" i="132" a="1"/>
  <c r="I21" i="127" a="1"/>
  <c r="K20" i="129" a="1"/>
  <c r="H20" i="128" a="1"/>
  <c r="L18" i="134" a="1"/>
  <c r="J21" i="125" a="1"/>
  <c r="H20" i="125" a="1"/>
  <c r="T18" i="128" a="1"/>
  <c r="K19" i="111" a="1"/>
  <c r="H20" i="129" a="1"/>
  <c r="K20" i="126" a="1"/>
  <c r="H19" i="111" a="1"/>
  <c r="H20" i="134" a="1"/>
  <c r="K20" i="135" a="1"/>
  <c r="L18" i="111" a="1"/>
  <c r="I21" i="125" a="1"/>
  <c r="T17" i="134" a="1"/>
  <c r="J21" i="135" a="1"/>
  <c r="K20" i="131" a="1"/>
  <c r="J21" i="126" a="1"/>
  <c r="I21" i="135" a="1"/>
  <c r="J21" i="129" a="1"/>
  <c r="K20" i="132" a="1"/>
  <c r="L19" i="132" a="1"/>
  <c r="I21" i="134" a="1"/>
  <c r="J21" i="124" a="1"/>
  <c r="H20" i="130" a="1"/>
  <c r="K20" i="125" a="1"/>
  <c r="I20" i="111" a="1"/>
  <c r="I21" i="124" a="1"/>
  <c r="I21" i="132" a="1"/>
  <c r="I21" i="129" a="1"/>
  <c r="K20" i="133" a="1"/>
  <c r="T16" i="128" a="1"/>
  <c r="T16" i="133" a="1"/>
  <c r="H20" i="133" a="1"/>
  <c r="J21" i="130" a="1"/>
  <c r="H20" i="126" a="1"/>
  <c r="K20" i="130" a="1"/>
  <c r="T16" i="131" a="1"/>
  <c r="I21" i="133" a="1"/>
  <c r="I21" i="130" a="1"/>
  <c r="H20" i="127" a="1"/>
  <c r="L18" i="133" l="1"/>
  <c r="T15" i="128"/>
  <c r="T16" i="127"/>
  <c r="M17" i="125" a="1"/>
  <c r="M17" i="125" s="1"/>
  <c r="L18" i="127"/>
  <c r="L18" i="134"/>
  <c r="T16" i="132"/>
  <c r="T16" i="126"/>
  <c r="P17" i="133" a="1"/>
  <c r="P17" i="133" s="1"/>
  <c r="O17" i="133" a="1"/>
  <c r="O17" i="133" s="1"/>
  <c r="M17" i="133" a="1"/>
  <c r="M17" i="133" s="1"/>
  <c r="T16" i="131"/>
  <c r="T16" i="130"/>
  <c r="N17" i="129" a="1"/>
  <c r="N17" i="129" s="1"/>
  <c r="O17" i="129" a="1"/>
  <c r="O17" i="129" s="1"/>
  <c r="O17" i="125" a="1"/>
  <c r="O17" i="125" s="1"/>
  <c r="P17" i="125" a="1"/>
  <c r="P17" i="125" s="1"/>
  <c r="T16" i="135"/>
  <c r="T18" i="128"/>
  <c r="T16" i="133"/>
  <c r="T16" i="124"/>
  <c r="T16" i="128"/>
  <c r="T17" i="134"/>
  <c r="L19" i="124"/>
  <c r="L19" i="132"/>
  <c r="J21" i="132"/>
  <c r="I21" i="132"/>
  <c r="K20" i="128"/>
  <c r="K20" i="124"/>
  <c r="K20" i="130"/>
  <c r="H20" i="124"/>
  <c r="H20" i="130"/>
  <c r="J21" i="125"/>
  <c r="I21" i="125"/>
  <c r="J21" i="124"/>
  <c r="I21" i="124"/>
  <c r="K20" i="125"/>
  <c r="K20" i="129"/>
  <c r="J21" i="129"/>
  <c r="I21" i="129"/>
  <c r="J21" i="127"/>
  <c r="I21" i="127"/>
  <c r="H20" i="132"/>
  <c r="H20" i="129"/>
  <c r="K20" i="126"/>
  <c r="H20" i="127"/>
  <c r="H20" i="125"/>
  <c r="K20" i="132"/>
  <c r="K20" i="131"/>
  <c r="H20" i="126"/>
  <c r="K20" i="127"/>
  <c r="H20" i="133"/>
  <c r="J21" i="128"/>
  <c r="I21" i="128"/>
  <c r="J21" i="133"/>
  <c r="I21" i="133"/>
  <c r="J21" i="131"/>
  <c r="I21" i="131"/>
  <c r="H20" i="134"/>
  <c r="H20" i="131"/>
  <c r="H20" i="135"/>
  <c r="K20" i="133"/>
  <c r="J21" i="130"/>
  <c r="I21" i="130"/>
  <c r="J21" i="126"/>
  <c r="I21" i="126"/>
  <c r="K20" i="134"/>
  <c r="K20" i="135"/>
  <c r="J21" i="135"/>
  <c r="I21" i="135"/>
  <c r="J21" i="134"/>
  <c r="I21" i="134"/>
  <c r="H20" i="128"/>
  <c r="Y22" i="130"/>
  <c r="B22" i="130"/>
  <c r="A22" i="130"/>
  <c r="C23" i="130"/>
  <c r="Y22" i="135"/>
  <c r="C23" i="135"/>
  <c r="B22" i="135"/>
  <c r="A22" i="135"/>
  <c r="Y22" i="124"/>
  <c r="B22" i="124"/>
  <c r="A22" i="124"/>
  <c r="C23" i="124"/>
  <c r="N18" i="129" a="1"/>
  <c r="N18" i="129" s="1"/>
  <c r="M18" i="129" a="1"/>
  <c r="M18" i="129" s="1"/>
  <c r="P18" i="129" a="1"/>
  <c r="P18" i="129" s="1"/>
  <c r="O18" i="129" a="1"/>
  <c r="O18" i="129" s="1"/>
  <c r="C23" i="126"/>
  <c r="B22" i="126"/>
  <c r="A22" i="126"/>
  <c r="Y22" i="126"/>
  <c r="P18" i="132" a="1"/>
  <c r="P18" i="132" s="1"/>
  <c r="O18" i="132" a="1"/>
  <c r="O18" i="132" s="1"/>
  <c r="M18" i="132" a="1"/>
  <c r="M18" i="132" s="1"/>
  <c r="N18" i="132" a="1"/>
  <c r="N18" i="132" s="1"/>
  <c r="Y22" i="125"/>
  <c r="C23" i="125"/>
  <c r="B22" i="125"/>
  <c r="A22" i="125"/>
  <c r="N18" i="135" a="1"/>
  <c r="N18" i="135" s="1"/>
  <c r="M18" i="135" a="1"/>
  <c r="M18" i="135" s="1"/>
  <c r="P18" i="135" a="1"/>
  <c r="P18" i="135" s="1"/>
  <c r="O18" i="135" a="1"/>
  <c r="O18" i="135" s="1"/>
  <c r="M18" i="133" a="1"/>
  <c r="M18" i="133" s="1"/>
  <c r="P18" i="133" a="1"/>
  <c r="P18" i="133" s="1"/>
  <c r="O18" i="133" a="1"/>
  <c r="O18" i="133" s="1"/>
  <c r="N18" i="133" a="1"/>
  <c r="N18" i="133" s="1"/>
  <c r="B22" i="128"/>
  <c r="C23" i="128"/>
  <c r="Y22" i="128"/>
  <c r="A22" i="128"/>
  <c r="Y22" i="127"/>
  <c r="C23" i="127"/>
  <c r="B22" i="127"/>
  <c r="A22" i="127"/>
  <c r="O18" i="126" a="1"/>
  <c r="O18" i="126" s="1"/>
  <c r="N18" i="126" a="1"/>
  <c r="N18" i="126" s="1"/>
  <c r="M18" i="126" a="1"/>
  <c r="M18" i="126" s="1"/>
  <c r="P18" i="126" a="1"/>
  <c r="P18" i="126" s="1"/>
  <c r="C23" i="134"/>
  <c r="Y22" i="134"/>
  <c r="B22" i="134"/>
  <c r="A22" i="134"/>
  <c r="O18" i="128" a="1"/>
  <c r="O18" i="128" s="1"/>
  <c r="N18" i="128" a="1"/>
  <c r="N18" i="128" s="1"/>
  <c r="M18" i="128" a="1"/>
  <c r="M18" i="128" s="1"/>
  <c r="P18" i="128" a="1"/>
  <c r="P18" i="128" s="1"/>
  <c r="B22" i="129"/>
  <c r="A22" i="129"/>
  <c r="C23" i="129"/>
  <c r="Y22" i="129"/>
  <c r="A22" i="133"/>
  <c r="Y22" i="133"/>
  <c r="C23" i="133"/>
  <c r="B22" i="133"/>
  <c r="N18" i="134" a="1"/>
  <c r="N18" i="134" s="1"/>
  <c r="P18" i="134" a="1"/>
  <c r="P18" i="134" s="1"/>
  <c r="M18" i="134" a="1"/>
  <c r="M18" i="134" s="1"/>
  <c r="O18" i="134" a="1"/>
  <c r="O18" i="134" s="1"/>
  <c r="C23" i="131"/>
  <c r="B22" i="131"/>
  <c r="A22" i="131"/>
  <c r="Y22" i="131"/>
  <c r="P18" i="124" a="1"/>
  <c r="P18" i="124" s="1"/>
  <c r="O18" i="124" a="1"/>
  <c r="O18" i="124" s="1"/>
  <c r="N18" i="124" a="1"/>
  <c r="N18" i="124" s="1"/>
  <c r="M18" i="124" a="1"/>
  <c r="M18" i="124" s="1"/>
  <c r="A22" i="132"/>
  <c r="C23" i="132"/>
  <c r="Y22" i="132"/>
  <c r="B22" i="132"/>
  <c r="N18" i="125" a="1"/>
  <c r="N18" i="125" s="1"/>
  <c r="O18" i="125" a="1"/>
  <c r="O18" i="125" s="1"/>
  <c r="M18" i="125" a="1"/>
  <c r="M18" i="125" s="1"/>
  <c r="P18" i="125" a="1"/>
  <c r="P18" i="125" s="1"/>
  <c r="N18" i="131" a="1"/>
  <c r="N18" i="131" s="1"/>
  <c r="M18" i="131" a="1"/>
  <c r="M18" i="131" s="1"/>
  <c r="P18" i="131" a="1"/>
  <c r="P18" i="131" s="1"/>
  <c r="O18" i="131" a="1"/>
  <c r="O18" i="131" s="1"/>
  <c r="N18" i="127" a="1"/>
  <c r="N18" i="127" s="1"/>
  <c r="M18" i="127" a="1"/>
  <c r="M18" i="127" s="1"/>
  <c r="P18" i="127" a="1"/>
  <c r="P18" i="127" s="1"/>
  <c r="O18" i="127" a="1"/>
  <c r="O18" i="127" s="1"/>
  <c r="N18" i="130" a="1"/>
  <c r="N18" i="130" s="1"/>
  <c r="P18" i="130" a="1"/>
  <c r="P18" i="130" s="1"/>
  <c r="O18" i="130" a="1"/>
  <c r="O18" i="130" s="1"/>
  <c r="M18" i="130" a="1"/>
  <c r="M18" i="130" s="1"/>
  <c r="K19" i="111"/>
  <c r="L18" i="111"/>
  <c r="N17" i="111" a="1"/>
  <c r="N17" i="111" s="1"/>
  <c r="M17" i="111" a="1"/>
  <c r="M17" i="111" s="1"/>
  <c r="O17" i="111" a="1"/>
  <c r="O17" i="111" s="1"/>
  <c r="P17" i="111" a="1"/>
  <c r="P17" i="111" s="1"/>
  <c r="J20" i="111"/>
  <c r="I20" i="111"/>
  <c r="H19" i="111"/>
  <c r="T21" i="111" a="1"/>
  <c r="T21" i="111" s="1"/>
  <c r="A21" i="111"/>
  <c r="Y21" i="111"/>
  <c r="C22" i="111"/>
  <c r="B22" i="111" s="1"/>
  <c r="O40" i="56"/>
  <c r="N40" i="56"/>
  <c r="M40" i="56"/>
  <c r="P39" i="56"/>
  <c r="O39" i="56"/>
  <c r="N39" i="56"/>
  <c r="M39" i="56"/>
  <c r="P41" i="56"/>
  <c r="O41" i="56"/>
  <c r="N41" i="56"/>
  <c r="M41" i="56"/>
  <c r="P40" i="56"/>
  <c r="A42" i="56"/>
  <c r="C43" i="56"/>
  <c r="J22" i="128" a="1"/>
  <c r="H21" i="127" a="1"/>
  <c r="H21" i="125" a="1"/>
  <c r="T17" i="125" a="1"/>
  <c r="H21" i="124" a="1"/>
  <c r="I22" i="134" a="1"/>
  <c r="L19" i="131" a="1"/>
  <c r="I22" i="126" a="1"/>
  <c r="L19" i="111" a="1"/>
  <c r="T17" i="124" a="1"/>
  <c r="J22" i="131" a="1"/>
  <c r="J22" i="134" a="1"/>
  <c r="K21" i="128" a="1"/>
  <c r="I22" i="130" a="1"/>
  <c r="I22" i="127" a="1"/>
  <c r="I22" i="125" a="1"/>
  <c r="K21" i="126" a="1"/>
  <c r="L20" i="131" a="1"/>
  <c r="J22" i="129" a="1"/>
  <c r="T17" i="129" a="1"/>
  <c r="J22" i="124" a="1"/>
  <c r="H21" i="135" a="1"/>
  <c r="I22" i="135" a="1"/>
  <c r="L20" i="127" a="1"/>
  <c r="K21" i="133" a="1"/>
  <c r="L19" i="126" a="1"/>
  <c r="K21" i="130" a="1"/>
  <c r="I22" i="124" a="1"/>
  <c r="I22" i="128" a="1"/>
  <c r="H21" i="134" a="1"/>
  <c r="H21" i="126" a="1"/>
  <c r="K21" i="135" a="1"/>
  <c r="J22" i="127" a="1"/>
  <c r="L20" i="128" a="1"/>
  <c r="J22" i="130" a="1"/>
  <c r="H21" i="128" a="1"/>
  <c r="K21" i="134" a="1"/>
  <c r="T19" i="124" a="1"/>
  <c r="I22" i="129" a="1"/>
  <c r="L20" i="124" a="1"/>
  <c r="H21" i="131" a="1"/>
  <c r="L19" i="130" a="1"/>
  <c r="K21" i="129" a="1"/>
  <c r="L19" i="133" a="1"/>
  <c r="T17" i="128" a="1"/>
  <c r="J22" i="132" a="1"/>
  <c r="L19" i="125" a="1"/>
  <c r="L19" i="135" a="1"/>
  <c r="L19" i="128" a="1"/>
  <c r="T18" i="133" a="1"/>
  <c r="H21" i="133" a="1"/>
  <c r="T17" i="135" a="1"/>
  <c r="K21" i="124" a="1"/>
  <c r="I22" i="132" a="1"/>
  <c r="L19" i="134" a="1"/>
  <c r="H21" i="129" a="1"/>
  <c r="J22" i="135" a="1"/>
  <c r="L19" i="127" a="1"/>
  <c r="L20" i="130" a="1"/>
  <c r="L19" i="129" a="1"/>
  <c r="L20" i="132" a="1"/>
  <c r="L20" i="126" a="1"/>
  <c r="J22" i="126" a="1"/>
  <c r="H20" i="111" a="1"/>
  <c r="I22" i="133" a="1"/>
  <c r="K21" i="125" a="1"/>
  <c r="I21" i="111" a="1"/>
  <c r="T17" i="127" a="1"/>
  <c r="T18" i="129" a="1"/>
  <c r="H21" i="130" a="1"/>
  <c r="L20" i="135" a="1"/>
  <c r="T17" i="133" a="1"/>
  <c r="T17" i="126" a="1"/>
  <c r="T17" i="132" a="1"/>
  <c r="T17" i="130" a="1"/>
  <c r="K21" i="127" a="1"/>
  <c r="T18" i="134" a="1"/>
  <c r="L20" i="133" a="1"/>
  <c r="K21" i="132" a="1"/>
  <c r="K20" i="111" a="1"/>
  <c r="J22" i="133" a="1"/>
  <c r="J22" i="125" a="1"/>
  <c r="H21" i="132" a="1"/>
  <c r="K21" i="131" a="1"/>
  <c r="J21" i="111" a="1"/>
  <c r="I22" i="131" a="1"/>
  <c r="T17" i="127" l="1"/>
  <c r="L19" i="134"/>
  <c r="L19" i="125"/>
  <c r="L19" i="133"/>
  <c r="T17" i="125"/>
  <c r="L19" i="127"/>
  <c r="L19" i="135"/>
  <c r="L19" i="130"/>
  <c r="O19" i="130" s="1" a="1"/>
  <c r="O19" i="130" s="1"/>
  <c r="L19" i="131"/>
  <c r="M19" i="131" s="1" a="1"/>
  <c r="M19" i="131" s="1"/>
  <c r="T17" i="135"/>
  <c r="T17" i="128"/>
  <c r="L19" i="129"/>
  <c r="L19" i="128"/>
  <c r="M19" i="128" s="1" a="1"/>
  <c r="M19" i="128" s="1"/>
  <c r="T18" i="133"/>
  <c r="L19" i="126"/>
  <c r="O19" i="126" s="1" a="1"/>
  <c r="O19" i="126" s="1"/>
  <c r="T17" i="126"/>
  <c r="T17" i="124"/>
  <c r="T17" i="129"/>
  <c r="T17" i="132"/>
  <c r="T18" i="129"/>
  <c r="T17" i="130"/>
  <c r="T18" i="134"/>
  <c r="T19" i="124"/>
  <c r="T17" i="133"/>
  <c r="L20" i="132"/>
  <c r="L20" i="133"/>
  <c r="L20" i="126"/>
  <c r="J22" i="127"/>
  <c r="I22" i="127"/>
  <c r="L20" i="127"/>
  <c r="K21" i="134"/>
  <c r="K21" i="130"/>
  <c r="K21" i="135"/>
  <c r="K21" i="128"/>
  <c r="H21" i="129"/>
  <c r="H21" i="132"/>
  <c r="L20" i="135"/>
  <c r="L20" i="130"/>
  <c r="J22" i="126"/>
  <c r="I22" i="126"/>
  <c r="I22" i="124"/>
  <c r="J22" i="124"/>
  <c r="K21" i="129"/>
  <c r="H21" i="125"/>
  <c r="K21" i="132"/>
  <c r="J22" i="130"/>
  <c r="I22" i="130"/>
  <c r="K21" i="125"/>
  <c r="I22" i="131"/>
  <c r="J22" i="131"/>
  <c r="L20" i="131"/>
  <c r="L20" i="124"/>
  <c r="H21" i="126"/>
  <c r="H21" i="131"/>
  <c r="J22" i="129"/>
  <c r="I22" i="129"/>
  <c r="L20" i="128"/>
  <c r="J22" i="133"/>
  <c r="I22" i="133"/>
  <c r="J22" i="134"/>
  <c r="I22" i="134"/>
  <c r="J22" i="128"/>
  <c r="I22" i="128"/>
  <c r="J22" i="125"/>
  <c r="I22" i="125"/>
  <c r="J22" i="135"/>
  <c r="I22" i="135"/>
  <c r="K21" i="126"/>
  <c r="K21" i="131"/>
  <c r="H21" i="134"/>
  <c r="H21" i="130"/>
  <c r="H21" i="133"/>
  <c r="H21" i="127"/>
  <c r="H21" i="124"/>
  <c r="K21" i="133"/>
  <c r="J22" i="132"/>
  <c r="I22" i="132"/>
  <c r="H21" i="135"/>
  <c r="H21" i="128"/>
  <c r="K21" i="127"/>
  <c r="K21" i="124"/>
  <c r="A23" i="133"/>
  <c r="Y23" i="133"/>
  <c r="C24" i="133"/>
  <c r="B23" i="133"/>
  <c r="C24" i="134"/>
  <c r="Y23" i="134"/>
  <c r="B23" i="134"/>
  <c r="A23" i="134"/>
  <c r="A23" i="130"/>
  <c r="Y23" i="130"/>
  <c r="B23" i="130"/>
  <c r="C24" i="130"/>
  <c r="N19" i="127" a="1"/>
  <c r="N19" i="127" s="1"/>
  <c r="M19" i="127" a="1"/>
  <c r="M19" i="127" s="1"/>
  <c r="P19" i="127" a="1"/>
  <c r="P19" i="127" s="1"/>
  <c r="O19" i="127" a="1"/>
  <c r="O19" i="127" s="1"/>
  <c r="O19" i="128" a="1"/>
  <c r="O19" i="128" s="1"/>
  <c r="A23" i="132"/>
  <c r="C24" i="132"/>
  <c r="Y23" i="132"/>
  <c r="B23" i="132"/>
  <c r="Y23" i="129"/>
  <c r="B23" i="129"/>
  <c r="A23" i="129"/>
  <c r="C24" i="129"/>
  <c r="C24" i="131"/>
  <c r="B23" i="131"/>
  <c r="A23" i="131"/>
  <c r="Y23" i="131"/>
  <c r="N19" i="135" a="1"/>
  <c r="N19" i="135" s="1"/>
  <c r="M19" i="135" a="1"/>
  <c r="M19" i="135" s="1"/>
  <c r="P19" i="135" a="1"/>
  <c r="P19" i="135" s="1"/>
  <c r="O19" i="135" a="1"/>
  <c r="O19" i="135" s="1"/>
  <c r="O19" i="133" a="1"/>
  <c r="O19" i="133" s="1"/>
  <c r="P19" i="133" a="1"/>
  <c r="P19" i="133" s="1"/>
  <c r="N19" i="133" a="1"/>
  <c r="N19" i="133" s="1"/>
  <c r="M19" i="133" a="1"/>
  <c r="M19" i="133" s="1"/>
  <c r="P19" i="130" a="1"/>
  <c r="P19" i="130" s="1"/>
  <c r="P19" i="126" a="1"/>
  <c r="P19" i="126" s="1"/>
  <c r="N19" i="126" a="1"/>
  <c r="N19" i="126" s="1"/>
  <c r="M19" i="126" a="1"/>
  <c r="M19" i="126" s="1"/>
  <c r="C24" i="126"/>
  <c r="Y23" i="126"/>
  <c r="B23" i="126"/>
  <c r="A23" i="126"/>
  <c r="B23" i="128"/>
  <c r="C24" i="128"/>
  <c r="Y23" i="128"/>
  <c r="A23" i="128"/>
  <c r="P19" i="129" a="1"/>
  <c r="P19" i="129" s="1"/>
  <c r="O19" i="129" a="1"/>
  <c r="O19" i="129" s="1"/>
  <c r="N19" i="129" a="1"/>
  <c r="N19" i="129" s="1"/>
  <c r="M19" i="129" a="1"/>
  <c r="M19" i="129" s="1"/>
  <c r="Y23" i="125"/>
  <c r="C24" i="125"/>
  <c r="B23" i="125"/>
  <c r="A23" i="125"/>
  <c r="Y23" i="135"/>
  <c r="C24" i="135"/>
  <c r="B23" i="135"/>
  <c r="A23" i="135"/>
  <c r="N19" i="134" a="1"/>
  <c r="N19" i="134" s="1"/>
  <c r="P19" i="134" a="1"/>
  <c r="P19" i="134" s="1"/>
  <c r="M19" i="134" a="1"/>
  <c r="M19" i="134" s="1"/>
  <c r="O19" i="134" a="1"/>
  <c r="O19" i="134" s="1"/>
  <c r="O19" i="132" a="1"/>
  <c r="O19" i="132" s="1"/>
  <c r="N19" i="132" a="1"/>
  <c r="N19" i="132" s="1"/>
  <c r="P19" i="132" a="1"/>
  <c r="P19" i="132" s="1"/>
  <c r="M19" i="132" a="1"/>
  <c r="M19" i="132" s="1"/>
  <c r="Y23" i="127"/>
  <c r="C24" i="127"/>
  <c r="B23" i="127"/>
  <c r="A23" i="127"/>
  <c r="A23" i="124"/>
  <c r="C24" i="124"/>
  <c r="Y23" i="124"/>
  <c r="B23" i="124"/>
  <c r="N19" i="125" a="1"/>
  <c r="N19" i="125" s="1"/>
  <c r="M19" i="125" a="1"/>
  <c r="M19" i="125" s="1"/>
  <c r="P19" i="125" a="1"/>
  <c r="P19" i="125" s="1"/>
  <c r="O19" i="125" a="1"/>
  <c r="O19" i="125" s="1"/>
  <c r="M19" i="124" a="1"/>
  <c r="M19" i="124" s="1"/>
  <c r="P19" i="124" a="1"/>
  <c r="P19" i="124" s="1"/>
  <c r="O19" i="124" a="1"/>
  <c r="O19" i="124" s="1"/>
  <c r="N19" i="124" a="1"/>
  <c r="N19" i="124" s="1"/>
  <c r="K20" i="111"/>
  <c r="L19" i="111"/>
  <c r="M18" i="111" a="1"/>
  <c r="M18" i="111" s="1"/>
  <c r="N18" i="111" a="1"/>
  <c r="N18" i="111" s="1"/>
  <c r="O18" i="111" a="1"/>
  <c r="O18" i="111" s="1"/>
  <c r="P18" i="111" a="1"/>
  <c r="P18" i="111" s="1"/>
  <c r="J21" i="111"/>
  <c r="I21" i="111"/>
  <c r="H20" i="111"/>
  <c r="T22" i="111" a="1"/>
  <c r="T22" i="111" s="1"/>
  <c r="A22" i="111"/>
  <c r="C23" i="111"/>
  <c r="B23" i="111" s="1"/>
  <c r="Y22" i="111"/>
  <c r="T39" i="56"/>
  <c r="T41" i="56"/>
  <c r="T40" i="56"/>
  <c r="A43" i="56"/>
  <c r="C44" i="56"/>
  <c r="T19" i="128" a="1"/>
  <c r="J23" i="129" a="1"/>
  <c r="H22" i="135" a="1"/>
  <c r="K22" i="125" a="1"/>
  <c r="J23" i="133" a="1"/>
  <c r="K22" i="132" a="1"/>
  <c r="J23" i="130" a="1"/>
  <c r="L21" i="133" a="1"/>
  <c r="L21" i="132" a="1"/>
  <c r="I23" i="126" a="1"/>
  <c r="L20" i="125" a="1"/>
  <c r="I23" i="129" a="1"/>
  <c r="I23" i="132" a="1"/>
  <c r="K22" i="129" a="1"/>
  <c r="K22" i="126" a="1"/>
  <c r="K22" i="127" a="1"/>
  <c r="T18" i="124" a="1"/>
  <c r="I23" i="124" a="1"/>
  <c r="H22" i="126" a="1"/>
  <c r="L21" i="131" a="1"/>
  <c r="J23" i="127" a="1"/>
  <c r="T18" i="127" a="1"/>
  <c r="H22" i="132" a="1"/>
  <c r="I22" i="111" a="1"/>
  <c r="L21" i="127" a="1"/>
  <c r="H22" i="130" a="1"/>
  <c r="T18" i="130" a="1"/>
  <c r="L21" i="124" a="1"/>
  <c r="L20" i="111" a="1"/>
  <c r="K22" i="128" a="1"/>
  <c r="L20" i="129" a="1"/>
  <c r="I23" i="135" a="1"/>
  <c r="J23" i="132" a="1"/>
  <c r="L21" i="134" a="1"/>
  <c r="I23" i="130" a="1"/>
  <c r="T20" i="127" a="1"/>
  <c r="J23" i="128" a="1"/>
  <c r="J23" i="131" a="1"/>
  <c r="K22" i="134" a="1"/>
  <c r="T18" i="125" a="1"/>
  <c r="T19" i="133" a="1"/>
  <c r="I23" i="128" a="1"/>
  <c r="T18" i="126" a="1"/>
  <c r="K21" i="111" a="1"/>
  <c r="K22" i="133" a="1"/>
  <c r="L21" i="130" a="1"/>
  <c r="K22" i="135" a="1"/>
  <c r="I23" i="125" a="1"/>
  <c r="H21" i="111" a="1"/>
  <c r="H22" i="127" a="1"/>
  <c r="I23" i="131" a="1"/>
  <c r="H22" i="131" a="1"/>
  <c r="I23" i="134" a="1"/>
  <c r="J23" i="134" a="1"/>
  <c r="L21" i="126" a="1"/>
  <c r="H22" i="128" a="1"/>
  <c r="T20" i="130" a="1"/>
  <c r="T18" i="132" a="1"/>
  <c r="J22" i="111" a="1"/>
  <c r="L21" i="135" a="1"/>
  <c r="H22" i="129" a="1"/>
  <c r="I23" i="127" a="1"/>
  <c r="K22" i="124" a="1"/>
  <c r="J23" i="126" a="1"/>
  <c r="H22" i="125" a="1"/>
  <c r="J23" i="124" a="1"/>
  <c r="L21" i="129" a="1"/>
  <c r="H22" i="124" a="1"/>
  <c r="J23" i="125" a="1"/>
  <c r="L20" i="134" a="1"/>
  <c r="I23" i="133" a="1"/>
  <c r="T18" i="131" a="1"/>
  <c r="T19" i="127" a="1"/>
  <c r="T18" i="135" a="1"/>
  <c r="J23" i="135" a="1"/>
  <c r="H22" i="133" a="1"/>
  <c r="K22" i="130" a="1"/>
  <c r="H22" i="134" a="1"/>
  <c r="K22" i="131" a="1"/>
  <c r="N19" i="130" l="1" a="1"/>
  <c r="N19" i="130" s="1"/>
  <c r="M19" i="130" a="1"/>
  <c r="M19" i="130" s="1"/>
  <c r="T19" i="133"/>
  <c r="T19" i="127"/>
  <c r="N19" i="131" a="1"/>
  <c r="N19" i="131" s="1"/>
  <c r="O19" i="131" a="1"/>
  <c r="O19" i="131" s="1"/>
  <c r="P19" i="131" a="1"/>
  <c r="P19" i="131" s="1"/>
  <c r="P19" i="128" a="1"/>
  <c r="P19" i="128" s="1"/>
  <c r="L20" i="129"/>
  <c r="T18" i="135"/>
  <c r="T18" i="124"/>
  <c r="L20" i="134"/>
  <c r="N20" i="134" s="1" a="1"/>
  <c r="N20" i="134" s="1"/>
  <c r="N19" i="128" a="1"/>
  <c r="N19" i="128" s="1"/>
  <c r="L20" i="125"/>
  <c r="O20" i="125" s="1" a="1"/>
  <c r="O20" i="125" s="1"/>
  <c r="T18" i="125"/>
  <c r="T18" i="132"/>
  <c r="T18" i="131"/>
  <c r="T19" i="128"/>
  <c r="T18" i="126"/>
  <c r="T20" i="130"/>
  <c r="T20" i="127"/>
  <c r="T18" i="130"/>
  <c r="T18" i="127"/>
  <c r="L21" i="127"/>
  <c r="J23" i="126"/>
  <c r="I23" i="126"/>
  <c r="I23" i="131"/>
  <c r="J23" i="131"/>
  <c r="J23" i="130"/>
  <c r="I23" i="130"/>
  <c r="J23" i="133"/>
  <c r="I23" i="133"/>
  <c r="H22" i="128"/>
  <c r="K22" i="129"/>
  <c r="H22" i="130"/>
  <c r="K22" i="126"/>
  <c r="L21" i="133"/>
  <c r="L21" i="132"/>
  <c r="H22" i="132"/>
  <c r="K22" i="128"/>
  <c r="K22" i="130"/>
  <c r="L21" i="135"/>
  <c r="J23" i="125"/>
  <c r="I23" i="125"/>
  <c r="L21" i="131"/>
  <c r="K22" i="132"/>
  <c r="H22" i="134"/>
  <c r="H22" i="127"/>
  <c r="J23" i="135"/>
  <c r="I23" i="135"/>
  <c r="L21" i="124"/>
  <c r="K22" i="134"/>
  <c r="K22" i="127"/>
  <c r="J23" i="127"/>
  <c r="I23" i="127"/>
  <c r="L21" i="126"/>
  <c r="I23" i="128"/>
  <c r="J23" i="128"/>
  <c r="I23" i="129"/>
  <c r="J23" i="129"/>
  <c r="H22" i="135"/>
  <c r="H22" i="133"/>
  <c r="J23" i="134"/>
  <c r="I23" i="134"/>
  <c r="K22" i="135"/>
  <c r="K22" i="133"/>
  <c r="K22" i="131"/>
  <c r="K22" i="124"/>
  <c r="J23" i="124"/>
  <c r="I23" i="124"/>
  <c r="I23" i="132"/>
  <c r="J23" i="132"/>
  <c r="L21" i="129"/>
  <c r="H22" i="125"/>
  <c r="H22" i="131"/>
  <c r="H22" i="124"/>
  <c r="L21" i="130"/>
  <c r="L21" i="134"/>
  <c r="K22" i="125"/>
  <c r="H22" i="129"/>
  <c r="H22" i="126"/>
  <c r="A24" i="130"/>
  <c r="Y24" i="130"/>
  <c r="B24" i="130"/>
  <c r="C25" i="130"/>
  <c r="B24" i="124"/>
  <c r="A24" i="124"/>
  <c r="C25" i="124"/>
  <c r="Y24" i="124"/>
  <c r="A24" i="132"/>
  <c r="C25" i="132"/>
  <c r="B24" i="132"/>
  <c r="Y24" i="132"/>
  <c r="M20" i="129" a="1"/>
  <c r="M20" i="129" s="1"/>
  <c r="P20" i="129" a="1"/>
  <c r="P20" i="129" s="1"/>
  <c r="O20" i="129" a="1"/>
  <c r="O20" i="129" s="1"/>
  <c r="N20" i="129" a="1"/>
  <c r="N20" i="129" s="1"/>
  <c r="C25" i="131"/>
  <c r="B24" i="131"/>
  <c r="A24" i="131"/>
  <c r="Y24" i="131"/>
  <c r="A24" i="133"/>
  <c r="Y24" i="133"/>
  <c r="C25" i="133"/>
  <c r="B24" i="133"/>
  <c r="N20" i="130" a="1"/>
  <c r="N20" i="130" s="1"/>
  <c r="P20" i="130" a="1"/>
  <c r="P20" i="130" s="1"/>
  <c r="O20" i="130" a="1"/>
  <c r="O20" i="130" s="1"/>
  <c r="M20" i="130" a="1"/>
  <c r="M20" i="130" s="1"/>
  <c r="N20" i="127" a="1"/>
  <c r="N20" i="127" s="1"/>
  <c r="M20" i="127" a="1"/>
  <c r="M20" i="127" s="1"/>
  <c r="P20" i="127" a="1"/>
  <c r="P20" i="127" s="1"/>
  <c r="O20" i="127" a="1"/>
  <c r="O20" i="127" s="1"/>
  <c r="C25" i="126"/>
  <c r="B24" i="126"/>
  <c r="A24" i="126"/>
  <c r="Y24" i="126"/>
  <c r="Y24" i="135"/>
  <c r="C25" i="135"/>
  <c r="B24" i="135"/>
  <c r="A24" i="135"/>
  <c r="A24" i="129"/>
  <c r="C25" i="129"/>
  <c r="Y24" i="129"/>
  <c r="B24" i="129"/>
  <c r="N20" i="135" a="1"/>
  <c r="N20" i="135" s="1"/>
  <c r="M20" i="135" a="1"/>
  <c r="M20" i="135" s="1"/>
  <c r="P20" i="135" a="1"/>
  <c r="P20" i="135" s="1"/>
  <c r="O20" i="135" a="1"/>
  <c r="O20" i="135" s="1"/>
  <c r="B24" i="128"/>
  <c r="Y24" i="128"/>
  <c r="A24" i="128"/>
  <c r="C25" i="128"/>
  <c r="O20" i="124" a="1"/>
  <c r="O20" i="124" s="1"/>
  <c r="N20" i="124" a="1"/>
  <c r="N20" i="124" s="1"/>
  <c r="M20" i="124" a="1"/>
  <c r="M20" i="124" s="1"/>
  <c r="P20" i="124" a="1"/>
  <c r="P20" i="124" s="1"/>
  <c r="Y24" i="127"/>
  <c r="C25" i="127"/>
  <c r="B24" i="127"/>
  <c r="A24" i="127"/>
  <c r="M20" i="131" a="1"/>
  <c r="M20" i="131" s="1"/>
  <c r="P20" i="131" a="1"/>
  <c r="P20" i="131" s="1"/>
  <c r="O20" i="131" a="1"/>
  <c r="O20" i="131" s="1"/>
  <c r="N20" i="131" a="1"/>
  <c r="N20" i="131" s="1"/>
  <c r="N20" i="126" a="1"/>
  <c r="N20" i="126" s="1"/>
  <c r="M20" i="126" a="1"/>
  <c r="M20" i="126" s="1"/>
  <c r="P20" i="126" a="1"/>
  <c r="P20" i="126" s="1"/>
  <c r="O20" i="126" a="1"/>
  <c r="O20" i="126" s="1"/>
  <c r="N20" i="133" a="1"/>
  <c r="N20" i="133" s="1"/>
  <c r="O20" i="133" a="1"/>
  <c r="O20" i="133" s="1"/>
  <c r="P20" i="133" a="1"/>
  <c r="P20" i="133" s="1"/>
  <c r="M20" i="133" a="1"/>
  <c r="M20" i="133" s="1"/>
  <c r="N20" i="128" a="1"/>
  <c r="N20" i="128" s="1"/>
  <c r="M20" i="128" a="1"/>
  <c r="M20" i="128" s="1"/>
  <c r="P20" i="128" a="1"/>
  <c r="P20" i="128" s="1"/>
  <c r="O20" i="128" a="1"/>
  <c r="O20" i="128" s="1"/>
  <c r="Y24" i="125"/>
  <c r="B24" i="125"/>
  <c r="A24" i="125"/>
  <c r="C25" i="125"/>
  <c r="C25" i="134"/>
  <c r="Y24" i="134"/>
  <c r="A24" i="134"/>
  <c r="B24" i="134"/>
  <c r="M20" i="132" a="1"/>
  <c r="M20" i="132" s="1"/>
  <c r="P20" i="132" a="1"/>
  <c r="P20" i="132" s="1"/>
  <c r="O20" i="132" a="1"/>
  <c r="O20" i="132" s="1"/>
  <c r="N20" i="132" a="1"/>
  <c r="N20" i="132" s="1"/>
  <c r="K21" i="111"/>
  <c r="L20" i="111"/>
  <c r="M19" i="111" a="1"/>
  <c r="M19" i="111" s="1"/>
  <c r="N19" i="111" a="1"/>
  <c r="N19" i="111" s="1"/>
  <c r="O19" i="111" a="1"/>
  <c r="O19" i="111" s="1"/>
  <c r="P19" i="111" a="1"/>
  <c r="P19" i="111" s="1"/>
  <c r="J22" i="111"/>
  <c r="I22" i="111"/>
  <c r="H21" i="111"/>
  <c r="T23" i="111" a="1"/>
  <c r="T23" i="111" s="1"/>
  <c r="Y23" i="111"/>
  <c r="C24" i="111"/>
  <c r="B24" i="111" s="1"/>
  <c r="A23" i="111"/>
  <c r="L42" i="56"/>
  <c r="C45" i="56"/>
  <c r="A44" i="56"/>
  <c r="H23" i="134" a="1"/>
  <c r="K23" i="131" a="1"/>
  <c r="T19" i="134" a="1"/>
  <c r="H23" i="133" a="1"/>
  <c r="L21" i="125" a="1"/>
  <c r="L22" i="127" a="1"/>
  <c r="I24" i="133" a="1"/>
  <c r="H23" i="135" a="1"/>
  <c r="K23" i="124" a="1"/>
  <c r="T21" i="132" a="1"/>
  <c r="L22" i="124" a="1"/>
  <c r="L22" i="133" a="1"/>
  <c r="J24" i="132" a="1"/>
  <c r="K23" i="134" a="1"/>
  <c r="J24" i="126" a="1"/>
  <c r="J24" i="129" a="1"/>
  <c r="L21" i="128" a="1"/>
  <c r="T20" i="132" a="1"/>
  <c r="I24" i="126" a="1"/>
  <c r="T19" i="129" a="1"/>
  <c r="J24" i="135" a="1"/>
  <c r="I24" i="127" a="1"/>
  <c r="H23" i="128" a="1"/>
  <c r="I24" i="125" a="1"/>
  <c r="H22" i="111" a="1"/>
  <c r="L21" i="111" a="1"/>
  <c r="L22" i="131" a="1"/>
  <c r="H23" i="131" a="1"/>
  <c r="T19" i="126" a="1"/>
  <c r="H23" i="126" a="1"/>
  <c r="J24" i="130" a="1"/>
  <c r="L22" i="134" a="1"/>
  <c r="K23" i="128" a="1"/>
  <c r="K23" i="132" a="1"/>
  <c r="T20" i="124" a="1"/>
  <c r="K23" i="129" a="1"/>
  <c r="K23" i="125" a="1"/>
  <c r="K23" i="126" a="1"/>
  <c r="T19" i="125" a="1"/>
  <c r="K22" i="111" a="1"/>
  <c r="H23" i="124" a="1"/>
  <c r="I24" i="128" a="1"/>
  <c r="T21" i="135" a="1"/>
  <c r="L22" i="126" a="1"/>
  <c r="J23" i="111" a="1"/>
  <c r="K23" i="130" a="1"/>
  <c r="T19" i="130" a="1"/>
  <c r="H23" i="129" a="1"/>
  <c r="J24" i="127" a="1"/>
  <c r="H23" i="125" a="1"/>
  <c r="I24" i="124" a="1"/>
  <c r="H23" i="132" a="1"/>
  <c r="T20" i="129" a="1"/>
  <c r="J24" i="133" a="1"/>
  <c r="T19" i="131" a="1"/>
  <c r="T20" i="133" a="1"/>
  <c r="I24" i="130" a="1"/>
  <c r="K23" i="135" a="1"/>
  <c r="J24" i="128" a="1"/>
  <c r="L22" i="135" a="1"/>
  <c r="I23" i="111" a="1"/>
  <c r="L22" i="132" a="1"/>
  <c r="J24" i="134" a="1"/>
  <c r="I24" i="132" a="1"/>
  <c r="K23" i="133" a="1"/>
  <c r="L22" i="128" a="1"/>
  <c r="H23" i="130" a="1"/>
  <c r="I24" i="134" a="1"/>
  <c r="J24" i="131" a="1"/>
  <c r="J24" i="124" a="1"/>
  <c r="I24" i="135" a="1"/>
  <c r="I24" i="129" a="1"/>
  <c r="K23" i="127" a="1"/>
  <c r="H23" i="127" a="1"/>
  <c r="I24" i="131" a="1"/>
  <c r="J24" i="125" a="1"/>
  <c r="T19" i="132" a="1"/>
  <c r="T19" i="135" a="1"/>
  <c r="M20" i="125" l="1" a="1"/>
  <c r="M20" i="125" s="1"/>
  <c r="L21" i="128"/>
  <c r="M20" i="134" a="1"/>
  <c r="M20" i="134" s="1"/>
  <c r="O20" i="134" a="1"/>
  <c r="O20" i="134" s="1"/>
  <c r="P20" i="134" a="1"/>
  <c r="P20" i="134" s="1"/>
  <c r="P20" i="125" a="1"/>
  <c r="P20" i="125" s="1"/>
  <c r="T19" i="131"/>
  <c r="N20" i="125" a="1"/>
  <c r="N20" i="125" s="1"/>
  <c r="T19" i="130"/>
  <c r="T20" i="132"/>
  <c r="L21" i="125"/>
  <c r="P21" i="125" s="1" a="1"/>
  <c r="P21" i="125" s="1"/>
  <c r="T19" i="125"/>
  <c r="T19" i="135"/>
  <c r="T20" i="124"/>
  <c r="T20" i="129"/>
  <c r="T19" i="129"/>
  <c r="T21" i="135"/>
  <c r="T19" i="132"/>
  <c r="T19" i="134"/>
  <c r="T20" i="133"/>
  <c r="T21" i="132"/>
  <c r="T19" i="126"/>
  <c r="L22" i="128"/>
  <c r="L22" i="134"/>
  <c r="L22" i="133"/>
  <c r="L22" i="131"/>
  <c r="L22" i="126"/>
  <c r="L22" i="132"/>
  <c r="L22" i="124"/>
  <c r="J24" i="133"/>
  <c r="I24" i="133"/>
  <c r="J24" i="124"/>
  <c r="I24" i="124"/>
  <c r="H23" i="132"/>
  <c r="J24" i="125"/>
  <c r="I24" i="125"/>
  <c r="J24" i="130"/>
  <c r="I24" i="130"/>
  <c r="K23" i="124"/>
  <c r="H23" i="130"/>
  <c r="K23" i="129"/>
  <c r="K23" i="130"/>
  <c r="J24" i="135"/>
  <c r="I24" i="135"/>
  <c r="J24" i="134"/>
  <c r="I24" i="134"/>
  <c r="H23" i="129"/>
  <c r="H23" i="125"/>
  <c r="K23" i="131"/>
  <c r="J24" i="127"/>
  <c r="I24" i="127"/>
  <c r="K23" i="128"/>
  <c r="H23" i="135"/>
  <c r="K23" i="125"/>
  <c r="H23" i="131"/>
  <c r="J24" i="128"/>
  <c r="I24" i="128"/>
  <c r="J24" i="129"/>
  <c r="I24" i="129"/>
  <c r="I24" i="131"/>
  <c r="J24" i="131"/>
  <c r="H23" i="128"/>
  <c r="K23" i="135"/>
  <c r="H23" i="126"/>
  <c r="K23" i="132"/>
  <c r="H23" i="134"/>
  <c r="K23" i="126"/>
  <c r="H23" i="127"/>
  <c r="H23" i="133"/>
  <c r="L22" i="135"/>
  <c r="L22" i="127"/>
  <c r="J24" i="126"/>
  <c r="I24" i="126"/>
  <c r="K23" i="134"/>
  <c r="I24" i="132"/>
  <c r="J24" i="132"/>
  <c r="H23" i="124"/>
  <c r="K23" i="127"/>
  <c r="K23" i="133"/>
  <c r="C26" i="134"/>
  <c r="Y25" i="134"/>
  <c r="B25" i="134"/>
  <c r="A25" i="134"/>
  <c r="C26" i="126"/>
  <c r="Y25" i="126"/>
  <c r="B25" i="126"/>
  <c r="A25" i="126"/>
  <c r="A25" i="132"/>
  <c r="C26" i="132"/>
  <c r="B25" i="132"/>
  <c r="Y25" i="132"/>
  <c r="N21" i="130" a="1"/>
  <c r="N21" i="130" s="1"/>
  <c r="P21" i="130" a="1"/>
  <c r="P21" i="130" s="1"/>
  <c r="O21" i="130" a="1"/>
  <c r="O21" i="130" s="1"/>
  <c r="M21" i="130" a="1"/>
  <c r="M21" i="130" s="1"/>
  <c r="P21" i="132" a="1"/>
  <c r="P21" i="132" s="1"/>
  <c r="O21" i="132" a="1"/>
  <c r="O21" i="132" s="1"/>
  <c r="N21" i="132" a="1"/>
  <c r="N21" i="132" s="1"/>
  <c r="M21" i="132" a="1"/>
  <c r="M21" i="132" s="1"/>
  <c r="O21" i="131" a="1"/>
  <c r="O21" i="131" s="1"/>
  <c r="N21" i="131" a="1"/>
  <c r="N21" i="131" s="1"/>
  <c r="M21" i="131" a="1"/>
  <c r="M21" i="131" s="1"/>
  <c r="P21" i="131" a="1"/>
  <c r="P21" i="131" s="1"/>
  <c r="N21" i="133" a="1"/>
  <c r="N21" i="133" s="1"/>
  <c r="P21" i="133" a="1"/>
  <c r="P21" i="133" s="1"/>
  <c r="O21" i="133" a="1"/>
  <c r="O21" i="133" s="1"/>
  <c r="M21" i="133" a="1"/>
  <c r="M21" i="133" s="1"/>
  <c r="Y25" i="127"/>
  <c r="C26" i="127"/>
  <c r="B25" i="127"/>
  <c r="A25" i="127"/>
  <c r="P21" i="124" a="1"/>
  <c r="P21" i="124" s="1"/>
  <c r="O21" i="124" a="1"/>
  <c r="O21" i="124" s="1"/>
  <c r="N21" i="124" a="1"/>
  <c r="N21" i="124" s="1"/>
  <c r="M21" i="124" a="1"/>
  <c r="M21" i="124" s="1"/>
  <c r="Y25" i="135"/>
  <c r="C26" i="135"/>
  <c r="B25" i="135"/>
  <c r="A25" i="135"/>
  <c r="Y25" i="124"/>
  <c r="B25" i="124"/>
  <c r="C26" i="124"/>
  <c r="A25" i="124"/>
  <c r="O21" i="129" a="1"/>
  <c r="O21" i="129" s="1"/>
  <c r="N21" i="129" a="1"/>
  <c r="N21" i="129" s="1"/>
  <c r="M21" i="129" a="1"/>
  <c r="M21" i="129" s="1"/>
  <c r="P21" i="129" a="1"/>
  <c r="P21" i="129" s="1"/>
  <c r="N21" i="135" a="1"/>
  <c r="N21" i="135" s="1"/>
  <c r="M21" i="135" a="1"/>
  <c r="M21" i="135" s="1"/>
  <c r="P21" i="135" a="1"/>
  <c r="P21" i="135" s="1"/>
  <c r="O21" i="135" a="1"/>
  <c r="O21" i="135" s="1"/>
  <c r="C26" i="131"/>
  <c r="B25" i="131"/>
  <c r="A25" i="131"/>
  <c r="Y25" i="131"/>
  <c r="P21" i="126" a="1"/>
  <c r="P21" i="126" s="1"/>
  <c r="O21" i="126" a="1"/>
  <c r="O21" i="126" s="1"/>
  <c r="N21" i="126" a="1"/>
  <c r="N21" i="126" s="1"/>
  <c r="M21" i="126" a="1"/>
  <c r="M21" i="126" s="1"/>
  <c r="B25" i="128"/>
  <c r="A25" i="128"/>
  <c r="C26" i="128"/>
  <c r="Y25" i="128"/>
  <c r="N21" i="127" a="1"/>
  <c r="N21" i="127" s="1"/>
  <c r="M21" i="127" a="1"/>
  <c r="M21" i="127" s="1"/>
  <c r="P21" i="127" a="1"/>
  <c r="P21" i="127" s="1"/>
  <c r="O21" i="127" a="1"/>
  <c r="O21" i="127" s="1"/>
  <c r="Y25" i="125"/>
  <c r="A25" i="125"/>
  <c r="C26" i="125"/>
  <c r="B25" i="125"/>
  <c r="B25" i="129"/>
  <c r="A25" i="129"/>
  <c r="C26" i="129"/>
  <c r="Y25" i="129"/>
  <c r="A25" i="133"/>
  <c r="B25" i="133"/>
  <c r="C26" i="133"/>
  <c r="Y25" i="133"/>
  <c r="A25" i="130"/>
  <c r="Y25" i="130"/>
  <c r="B25" i="130"/>
  <c r="C26" i="130"/>
  <c r="N21" i="134" a="1"/>
  <c r="N21" i="134" s="1"/>
  <c r="M21" i="134" a="1"/>
  <c r="M21" i="134" s="1"/>
  <c r="P21" i="134" a="1"/>
  <c r="P21" i="134" s="1"/>
  <c r="O21" i="134" a="1"/>
  <c r="O21" i="134" s="1"/>
  <c r="O21" i="128" a="1"/>
  <c r="O21" i="128" s="1"/>
  <c r="P21" i="128" a="1"/>
  <c r="P21" i="128" s="1"/>
  <c r="N21" i="128" a="1"/>
  <c r="N21" i="128" s="1"/>
  <c r="M21" i="128" a="1"/>
  <c r="M21" i="128" s="1"/>
  <c r="K22" i="111"/>
  <c r="L21" i="111"/>
  <c r="P21" i="111" s="1" a="1"/>
  <c r="P21" i="111" s="1"/>
  <c r="M20" i="111" a="1"/>
  <c r="M20" i="111" s="1"/>
  <c r="N20" i="111" a="1"/>
  <c r="N20" i="111" s="1"/>
  <c r="O20" i="111" a="1"/>
  <c r="O20" i="111" s="1"/>
  <c r="P20" i="111" a="1"/>
  <c r="P20" i="111" s="1"/>
  <c r="J23" i="111"/>
  <c r="I23" i="111"/>
  <c r="H22" i="111"/>
  <c r="T24" i="111" a="1"/>
  <c r="T24" i="111" s="1"/>
  <c r="C25" i="111"/>
  <c r="B25" i="111" s="1"/>
  <c r="Y24" i="111"/>
  <c r="A24" i="111"/>
  <c r="O42" i="56"/>
  <c r="N42" i="56"/>
  <c r="M42" i="56"/>
  <c r="L43" i="56"/>
  <c r="C46" i="56"/>
  <c r="A45" i="56"/>
  <c r="K24" i="129" a="1"/>
  <c r="I25" i="125" a="1"/>
  <c r="H24" i="130" a="1"/>
  <c r="K24" i="133" a="1"/>
  <c r="J25" i="128" a="1"/>
  <c r="K24" i="130" a="1"/>
  <c r="T20" i="131" a="1"/>
  <c r="H24" i="126" a="1"/>
  <c r="H24" i="124" a="1"/>
  <c r="I25" i="126" a="1"/>
  <c r="K24" i="125" a="1"/>
  <c r="I25" i="130" a="1"/>
  <c r="H24" i="129" a="1"/>
  <c r="T20" i="134" a="1"/>
  <c r="H24" i="131" a="1"/>
  <c r="L23" i="125" a="1"/>
  <c r="H24" i="125" a="1"/>
  <c r="I25" i="135" a="1"/>
  <c r="K24" i="134" a="1"/>
  <c r="I25" i="128" a="1"/>
  <c r="J25" i="129" a="1"/>
  <c r="L22" i="125" a="1"/>
  <c r="T21" i="131" a="1"/>
  <c r="H23" i="111" a="1"/>
  <c r="T20" i="128" a="1"/>
  <c r="I25" i="129" a="1"/>
  <c r="J25" i="135" a="1"/>
  <c r="K24" i="124" a="1"/>
  <c r="J25" i="133" a="1"/>
  <c r="K24" i="131" a="1"/>
  <c r="K24" i="135" a="1"/>
  <c r="L23" i="127" a="1"/>
  <c r="H24" i="133" a="1"/>
  <c r="I24" i="111" a="1"/>
  <c r="J25" i="131" a="1"/>
  <c r="T20" i="125" a="1"/>
  <c r="J25" i="125" a="1"/>
  <c r="L22" i="129" a="1"/>
  <c r="H24" i="135" a="1"/>
  <c r="J25" i="126" a="1"/>
  <c r="L23" i="128" a="1"/>
  <c r="H24" i="132" a="1"/>
  <c r="K24" i="128" a="1"/>
  <c r="J25" i="134" a="1"/>
  <c r="K23" i="111" a="1"/>
  <c r="T20" i="126" a="1"/>
  <c r="L22" i="130" a="1"/>
  <c r="H24" i="127" a="1"/>
  <c r="K24" i="127" a="1"/>
  <c r="T20" i="135" a="1"/>
  <c r="L23" i="124" a="1"/>
  <c r="I25" i="133" a="1"/>
  <c r="J25" i="130" a="1"/>
  <c r="I25" i="132" a="1"/>
  <c r="H24" i="134" a="1"/>
  <c r="K24" i="132" a="1"/>
  <c r="I25" i="127" a="1"/>
  <c r="K24" i="126" a="1"/>
  <c r="J25" i="127" a="1"/>
  <c r="I25" i="124" a="1"/>
  <c r="I25" i="131" a="1"/>
  <c r="J24" i="111" a="1"/>
  <c r="J25" i="132" a="1"/>
  <c r="L23" i="133" a="1"/>
  <c r="L23" i="131" a="1"/>
  <c r="J25" i="124" a="1"/>
  <c r="H24" i="128" a="1"/>
  <c r="I25" i="134" a="1"/>
  <c r="L22" i="111" a="1"/>
  <c r="N21" i="125" l="1" a="1"/>
  <c r="N21" i="125" s="1"/>
  <c r="L22" i="129"/>
  <c r="L22" i="125"/>
  <c r="T20" i="131"/>
  <c r="M21" i="125" a="1"/>
  <c r="M21" i="125" s="1"/>
  <c r="O21" i="125" a="1"/>
  <c r="O21" i="125" s="1"/>
  <c r="L22" i="130"/>
  <c r="N22" i="130" s="1" a="1"/>
  <c r="N22" i="130" s="1"/>
  <c r="T20" i="135"/>
  <c r="T20" i="128"/>
  <c r="T20" i="126"/>
  <c r="T20" i="134"/>
  <c r="T21" i="131"/>
  <c r="T20" i="125"/>
  <c r="L23" i="124"/>
  <c r="L23" i="133"/>
  <c r="J25" i="128"/>
  <c r="I25" i="128"/>
  <c r="I25" i="131"/>
  <c r="J25" i="131"/>
  <c r="H24" i="132"/>
  <c r="H24" i="129"/>
  <c r="H24" i="135"/>
  <c r="H24" i="125"/>
  <c r="J25" i="135"/>
  <c r="I25" i="135"/>
  <c r="J25" i="127"/>
  <c r="I25" i="127"/>
  <c r="J25" i="134"/>
  <c r="I25" i="134"/>
  <c r="K24" i="129"/>
  <c r="H24" i="127"/>
  <c r="K24" i="135"/>
  <c r="K24" i="125"/>
  <c r="L23" i="125"/>
  <c r="I25" i="126"/>
  <c r="J25" i="126"/>
  <c r="H24" i="126"/>
  <c r="H24" i="128"/>
  <c r="K24" i="127"/>
  <c r="J25" i="130"/>
  <c r="I25" i="130"/>
  <c r="J25" i="129"/>
  <c r="I25" i="129"/>
  <c r="L23" i="131"/>
  <c r="K24" i="126"/>
  <c r="K24" i="128"/>
  <c r="H24" i="124"/>
  <c r="J25" i="133"/>
  <c r="I25" i="133"/>
  <c r="L23" i="127"/>
  <c r="K24" i="124"/>
  <c r="J25" i="125"/>
  <c r="I25" i="125"/>
  <c r="I25" i="132"/>
  <c r="J25" i="132"/>
  <c r="J25" i="124"/>
  <c r="I25" i="124"/>
  <c r="K24" i="131"/>
  <c r="H24" i="134"/>
  <c r="H24" i="130"/>
  <c r="H24" i="133"/>
  <c r="L23" i="128"/>
  <c r="K24" i="132"/>
  <c r="H24" i="131"/>
  <c r="K24" i="134"/>
  <c r="K24" i="130"/>
  <c r="K24" i="133"/>
  <c r="Y26" i="129"/>
  <c r="B26" i="129"/>
  <c r="C27" i="129"/>
  <c r="A26" i="129"/>
  <c r="N22" i="124" a="1"/>
  <c r="N22" i="124" s="1"/>
  <c r="M22" i="124" a="1"/>
  <c r="M22" i="124" s="1"/>
  <c r="P22" i="124" a="1"/>
  <c r="P22" i="124" s="1"/>
  <c r="O22" i="124" a="1"/>
  <c r="O22" i="124" s="1"/>
  <c r="C27" i="131"/>
  <c r="B26" i="131"/>
  <c r="A26" i="131"/>
  <c r="Y26" i="131"/>
  <c r="P22" i="132" a="1"/>
  <c r="P22" i="132" s="1"/>
  <c r="O22" i="132" a="1"/>
  <c r="O22" i="132" s="1"/>
  <c r="N22" i="132" a="1"/>
  <c r="N22" i="132" s="1"/>
  <c r="M22" i="132" a="1"/>
  <c r="M22" i="132" s="1"/>
  <c r="N22" i="125" a="1"/>
  <c r="N22" i="125" s="1"/>
  <c r="O22" i="125" a="1"/>
  <c r="O22" i="125" s="1"/>
  <c r="M22" i="125" a="1"/>
  <c r="M22" i="125" s="1"/>
  <c r="P22" i="125" a="1"/>
  <c r="P22" i="125" s="1"/>
  <c r="Y26" i="127"/>
  <c r="C27" i="127"/>
  <c r="B26" i="127"/>
  <c r="A26" i="127"/>
  <c r="A26" i="133"/>
  <c r="C27" i="133"/>
  <c r="B26" i="133"/>
  <c r="Y26" i="133"/>
  <c r="C27" i="134"/>
  <c r="Y26" i="134"/>
  <c r="B26" i="134"/>
  <c r="A26" i="134"/>
  <c r="M22" i="126" a="1"/>
  <c r="M22" i="126" s="1"/>
  <c r="P22" i="126" a="1"/>
  <c r="P22" i="126" s="1"/>
  <c r="O22" i="126" a="1"/>
  <c r="O22" i="126" s="1"/>
  <c r="N22" i="126" a="1"/>
  <c r="N22" i="126" s="1"/>
  <c r="Y26" i="125"/>
  <c r="C27" i="125"/>
  <c r="B26" i="125"/>
  <c r="A26" i="125"/>
  <c r="C27" i="126"/>
  <c r="Y26" i="126"/>
  <c r="B26" i="126"/>
  <c r="A26" i="126"/>
  <c r="N22" i="127" a="1"/>
  <c r="N22" i="127" s="1"/>
  <c r="M22" i="127" a="1"/>
  <c r="M22" i="127" s="1"/>
  <c r="P22" i="127" a="1"/>
  <c r="P22" i="127" s="1"/>
  <c r="O22" i="127" a="1"/>
  <c r="O22" i="127" s="1"/>
  <c r="P22" i="129" a="1"/>
  <c r="P22" i="129" s="1"/>
  <c r="O22" i="129" a="1"/>
  <c r="O22" i="129" s="1"/>
  <c r="N22" i="129" a="1"/>
  <c r="N22" i="129" s="1"/>
  <c r="M22" i="129" a="1"/>
  <c r="M22" i="129" s="1"/>
  <c r="M22" i="131" a="1"/>
  <c r="M22" i="131" s="1"/>
  <c r="O22" i="131" a="1"/>
  <c r="O22" i="131" s="1"/>
  <c r="N22" i="131" a="1"/>
  <c r="N22" i="131" s="1"/>
  <c r="P22" i="131" a="1"/>
  <c r="P22" i="131" s="1"/>
  <c r="A26" i="130"/>
  <c r="Y26" i="130"/>
  <c r="B26" i="130"/>
  <c r="C27" i="130"/>
  <c r="B26" i="124"/>
  <c r="A26" i="124"/>
  <c r="C27" i="124"/>
  <c r="Y26" i="124"/>
  <c r="N22" i="135" a="1"/>
  <c r="N22" i="135" s="1"/>
  <c r="M22" i="135" a="1"/>
  <c r="M22" i="135" s="1"/>
  <c r="P22" i="135" a="1"/>
  <c r="P22" i="135" s="1"/>
  <c r="O22" i="135" a="1"/>
  <c r="O22" i="135" s="1"/>
  <c r="N22" i="133" a="1"/>
  <c r="N22" i="133" s="1"/>
  <c r="P22" i="133" a="1"/>
  <c r="P22" i="133" s="1"/>
  <c r="M22" i="133" a="1"/>
  <c r="M22" i="133" s="1"/>
  <c r="O22" i="133" a="1"/>
  <c r="O22" i="133" s="1"/>
  <c r="N22" i="134" a="1"/>
  <c r="N22" i="134" s="1"/>
  <c r="M22" i="134" a="1"/>
  <c r="M22" i="134" s="1"/>
  <c r="P22" i="134" a="1"/>
  <c r="P22" i="134" s="1"/>
  <c r="O22" i="134" a="1"/>
  <c r="O22" i="134" s="1"/>
  <c r="B26" i="128"/>
  <c r="C27" i="128"/>
  <c r="Y26" i="128"/>
  <c r="A26" i="128"/>
  <c r="A26" i="132"/>
  <c r="C27" i="132"/>
  <c r="B26" i="132"/>
  <c r="Y26" i="132"/>
  <c r="Y26" i="135"/>
  <c r="C27" i="135"/>
  <c r="B26" i="135"/>
  <c r="A26" i="135"/>
  <c r="O22" i="128" a="1"/>
  <c r="O22" i="128" s="1"/>
  <c r="P22" i="128" a="1"/>
  <c r="P22" i="128" s="1"/>
  <c r="N22" i="128" a="1"/>
  <c r="N22" i="128" s="1"/>
  <c r="M22" i="128" a="1"/>
  <c r="M22" i="128" s="1"/>
  <c r="K23" i="111"/>
  <c r="L22" i="111"/>
  <c r="O21" i="111" a="1"/>
  <c r="O21" i="111" s="1"/>
  <c r="N21" i="111" a="1"/>
  <c r="N21" i="111" s="1"/>
  <c r="M21" i="111" a="1"/>
  <c r="M21" i="111" s="1"/>
  <c r="J24" i="111"/>
  <c r="I24" i="111"/>
  <c r="H23" i="111"/>
  <c r="T25" i="111" a="1"/>
  <c r="T25" i="111" s="1"/>
  <c r="C26" i="111"/>
  <c r="B26" i="111" s="1"/>
  <c r="Y25" i="111"/>
  <c r="A25" i="111"/>
  <c r="T42" i="56"/>
  <c r="O43" i="56"/>
  <c r="N43" i="56"/>
  <c r="M43" i="56"/>
  <c r="P42" i="56"/>
  <c r="A46" i="56"/>
  <c r="C47" i="56"/>
  <c r="L23" i="129" a="1"/>
  <c r="L24" i="129" a="1"/>
  <c r="T22" i="125" a="1"/>
  <c r="H24" i="111" a="1"/>
  <c r="L23" i="134" a="1"/>
  <c r="J26" i="131" a="1"/>
  <c r="K25" i="126" a="1"/>
  <c r="I26" i="134" a="1"/>
  <c r="K25" i="134" a="1"/>
  <c r="L24" i="135" a="1"/>
  <c r="H25" i="127" a="1"/>
  <c r="L24" i="131" a="1"/>
  <c r="H25" i="133" a="1"/>
  <c r="K25" i="125" a="1"/>
  <c r="T21" i="129" a="1"/>
  <c r="K25" i="133" a="1"/>
  <c r="T23" i="125" a="1"/>
  <c r="L23" i="130" a="1"/>
  <c r="K25" i="124" a="1"/>
  <c r="I26" i="125" a="1"/>
  <c r="J25" i="111" a="1"/>
  <c r="T22" i="129" a="1"/>
  <c r="J26" i="124" a="1"/>
  <c r="I26" i="130" a="1"/>
  <c r="L23" i="126" a="1"/>
  <c r="J26" i="133" a="1"/>
  <c r="H25" i="129" a="1"/>
  <c r="H25" i="130" a="1"/>
  <c r="H25" i="135" a="1"/>
  <c r="I25" i="111" a="1"/>
  <c r="L24" i="126" a="1"/>
  <c r="H25" i="134" a="1"/>
  <c r="I26" i="128" a="1"/>
  <c r="T21" i="126" a="1"/>
  <c r="I26" i="132" a="1"/>
  <c r="I26" i="129" a="1"/>
  <c r="I26" i="133" a="1"/>
  <c r="T21" i="133" a="1"/>
  <c r="L24" i="132" a="1"/>
  <c r="T21" i="134" a="1"/>
  <c r="I26" i="131" a="1"/>
  <c r="H25" i="125" a="1"/>
  <c r="J26" i="130" a="1"/>
  <c r="J26" i="134" a="1"/>
  <c r="L24" i="133" a="1"/>
  <c r="T21" i="125" a="1"/>
  <c r="J26" i="127" a="1"/>
  <c r="I26" i="124" a="1"/>
  <c r="H25" i="131" a="1"/>
  <c r="J26" i="125" a="1"/>
  <c r="J26" i="126" a="1"/>
  <c r="H25" i="128" a="1"/>
  <c r="K25" i="132" a="1"/>
  <c r="J26" i="132" a="1"/>
  <c r="T22" i="126" a="1"/>
  <c r="I26" i="135" a="1"/>
  <c r="L23" i="132" a="1"/>
  <c r="T21" i="127" a="1"/>
  <c r="K25" i="130" a="1"/>
  <c r="T21" i="128" a="1"/>
  <c r="I26" i="127" a="1"/>
  <c r="H25" i="124" a="1"/>
  <c r="K25" i="131" a="1"/>
  <c r="K25" i="129" a="1"/>
  <c r="K25" i="127" a="1"/>
  <c r="J26" i="135" a="1"/>
  <c r="H25" i="126" a="1"/>
  <c r="L23" i="135" a="1"/>
  <c r="J26" i="128" a="1"/>
  <c r="H25" i="132" a="1"/>
  <c r="K25" i="128" a="1"/>
  <c r="I26" i="126" a="1"/>
  <c r="K24" i="111" a="1"/>
  <c r="J26" i="129" a="1"/>
  <c r="T21" i="130" a="1"/>
  <c r="T21" i="124" a="1"/>
  <c r="K25" i="135" a="1"/>
  <c r="T21" i="129" l="1"/>
  <c r="L23" i="129"/>
  <c r="L23" i="132"/>
  <c r="L23" i="130"/>
  <c r="T21" i="126"/>
  <c r="T21" i="128"/>
  <c r="P22" i="130" a="1"/>
  <c r="P22" i="130" s="1"/>
  <c r="L23" i="134"/>
  <c r="M23" i="134" s="1" a="1"/>
  <c r="M23" i="134" s="1"/>
  <c r="T22" i="129"/>
  <c r="M22" i="130" a="1"/>
  <c r="M22" i="130" s="1"/>
  <c r="O22" i="130" a="1"/>
  <c r="O22" i="130" s="1"/>
  <c r="T21" i="133"/>
  <c r="L23" i="126"/>
  <c r="T22" i="126"/>
  <c r="T22" i="125"/>
  <c r="L23" i="135"/>
  <c r="T21" i="130"/>
  <c r="T21" i="124"/>
  <c r="T23" i="125"/>
  <c r="T21" i="134"/>
  <c r="T21" i="125"/>
  <c r="T21" i="127"/>
  <c r="L24" i="135"/>
  <c r="L24" i="131"/>
  <c r="L24" i="129"/>
  <c r="L24" i="126"/>
  <c r="J26" i="134"/>
  <c r="I26" i="134"/>
  <c r="J26" i="126"/>
  <c r="I26" i="126"/>
  <c r="K25" i="124"/>
  <c r="H25" i="129"/>
  <c r="H25" i="126"/>
  <c r="H25" i="127"/>
  <c r="K25" i="131"/>
  <c r="L24" i="133"/>
  <c r="K25" i="132"/>
  <c r="H25" i="133"/>
  <c r="K25" i="129"/>
  <c r="K25" i="127"/>
  <c r="H25" i="131"/>
  <c r="H25" i="130"/>
  <c r="H25" i="135"/>
  <c r="H25" i="128"/>
  <c r="I26" i="133"/>
  <c r="J26" i="133"/>
  <c r="J26" i="129"/>
  <c r="I26" i="129"/>
  <c r="H25" i="132"/>
  <c r="K25" i="133"/>
  <c r="I26" i="131"/>
  <c r="J26" i="131"/>
  <c r="K25" i="130"/>
  <c r="K25" i="135"/>
  <c r="K25" i="128"/>
  <c r="J26" i="135"/>
  <c r="I26" i="135"/>
  <c r="J26" i="128"/>
  <c r="I26" i="128"/>
  <c r="J26" i="125"/>
  <c r="I26" i="125"/>
  <c r="H25" i="125"/>
  <c r="J26" i="124"/>
  <c r="I26" i="124"/>
  <c r="L24" i="132"/>
  <c r="K25" i="125"/>
  <c r="I26" i="132"/>
  <c r="J26" i="132"/>
  <c r="J26" i="127"/>
  <c r="I26" i="127"/>
  <c r="H25" i="134"/>
  <c r="J26" i="130"/>
  <c r="I26" i="130"/>
  <c r="H25" i="124"/>
  <c r="K25" i="126"/>
  <c r="K25" i="134"/>
  <c r="C28" i="134"/>
  <c r="Y27" i="134"/>
  <c r="B27" i="134"/>
  <c r="A27" i="134"/>
  <c r="N23" i="127" a="1"/>
  <c r="N23" i="127" s="1"/>
  <c r="M23" i="127" a="1"/>
  <c r="M23" i="127" s="1"/>
  <c r="P23" i="127" a="1"/>
  <c r="P23" i="127" s="1"/>
  <c r="O23" i="127" a="1"/>
  <c r="O23" i="127" s="1"/>
  <c r="B27" i="129"/>
  <c r="A27" i="129"/>
  <c r="C28" i="129"/>
  <c r="Y27" i="129"/>
  <c r="N23" i="129" a="1"/>
  <c r="N23" i="129" s="1"/>
  <c r="M23" i="129" a="1"/>
  <c r="M23" i="129" s="1"/>
  <c r="P23" i="129" a="1"/>
  <c r="P23" i="129" s="1"/>
  <c r="O23" i="129" a="1"/>
  <c r="O23" i="129" s="1"/>
  <c r="N23" i="125" a="1"/>
  <c r="N23" i="125" s="1"/>
  <c r="M23" i="125" a="1"/>
  <c r="M23" i="125" s="1"/>
  <c r="P23" i="125" a="1"/>
  <c r="P23" i="125" s="1"/>
  <c r="O23" i="125" a="1"/>
  <c r="O23" i="125" s="1"/>
  <c r="C28" i="126"/>
  <c r="B27" i="126"/>
  <c r="A27" i="126"/>
  <c r="Y27" i="126"/>
  <c r="O23" i="128" a="1"/>
  <c r="O23" i="128" s="1"/>
  <c r="N23" i="128" a="1"/>
  <c r="N23" i="128" s="1"/>
  <c r="M23" i="128" a="1"/>
  <c r="M23" i="128" s="1"/>
  <c r="P23" i="128" a="1"/>
  <c r="P23" i="128" s="1"/>
  <c r="B27" i="128"/>
  <c r="C28" i="128"/>
  <c r="Y27" i="128"/>
  <c r="A27" i="128"/>
  <c r="Y27" i="124"/>
  <c r="B27" i="124"/>
  <c r="A27" i="124"/>
  <c r="C28" i="124"/>
  <c r="A27" i="133"/>
  <c r="Y27" i="133"/>
  <c r="B27" i="133"/>
  <c r="C28" i="133"/>
  <c r="N23" i="134" a="1"/>
  <c r="N23" i="134" s="1"/>
  <c r="P23" i="134" a="1"/>
  <c r="P23" i="134" s="1"/>
  <c r="Y27" i="135"/>
  <c r="C28" i="135"/>
  <c r="B27" i="135"/>
  <c r="A27" i="135"/>
  <c r="C28" i="131"/>
  <c r="B27" i="131"/>
  <c r="Y27" i="131"/>
  <c r="A27" i="131"/>
  <c r="N23" i="130" a="1"/>
  <c r="N23" i="130" s="1"/>
  <c r="P23" i="130" a="1"/>
  <c r="P23" i="130" s="1"/>
  <c r="O23" i="130" a="1"/>
  <c r="O23" i="130" s="1"/>
  <c r="M23" i="130" a="1"/>
  <c r="M23" i="130" s="1"/>
  <c r="O23" i="132" a="1"/>
  <c r="O23" i="132" s="1"/>
  <c r="N23" i="132" a="1"/>
  <c r="N23" i="132" s="1"/>
  <c r="M23" i="132" a="1"/>
  <c r="M23" i="132" s="1"/>
  <c r="P23" i="132" a="1"/>
  <c r="P23" i="132" s="1"/>
  <c r="Y27" i="125"/>
  <c r="C28" i="125"/>
  <c r="B27" i="125"/>
  <c r="A27" i="125"/>
  <c r="N23" i="133" a="1"/>
  <c r="N23" i="133" s="1"/>
  <c r="M23" i="133" a="1"/>
  <c r="M23" i="133" s="1"/>
  <c r="P23" i="133" a="1"/>
  <c r="P23" i="133" s="1"/>
  <c r="O23" i="133" a="1"/>
  <c r="O23" i="133" s="1"/>
  <c r="A27" i="130"/>
  <c r="Y27" i="130"/>
  <c r="B27" i="130"/>
  <c r="C28" i="130"/>
  <c r="M23" i="131" a="1"/>
  <c r="M23" i="131" s="1"/>
  <c r="O23" i="131" a="1"/>
  <c r="O23" i="131" s="1"/>
  <c r="N23" i="131" a="1"/>
  <c r="N23" i="131" s="1"/>
  <c r="P23" i="131" a="1"/>
  <c r="P23" i="131" s="1"/>
  <c r="A27" i="132"/>
  <c r="B27" i="132"/>
  <c r="C28" i="132"/>
  <c r="Y27" i="132"/>
  <c r="Y27" i="127"/>
  <c r="C28" i="127"/>
  <c r="B27" i="127"/>
  <c r="A27" i="127"/>
  <c r="N23" i="135" a="1"/>
  <c r="N23" i="135" s="1"/>
  <c r="M23" i="135" a="1"/>
  <c r="M23" i="135" s="1"/>
  <c r="P23" i="135" a="1"/>
  <c r="P23" i="135" s="1"/>
  <c r="O23" i="135" a="1"/>
  <c r="O23" i="135" s="1"/>
  <c r="N23" i="126" a="1"/>
  <c r="N23" i="126" s="1"/>
  <c r="M23" i="126" a="1"/>
  <c r="M23" i="126" s="1"/>
  <c r="P23" i="126" a="1"/>
  <c r="P23" i="126" s="1"/>
  <c r="O23" i="126" a="1"/>
  <c r="O23" i="126" s="1"/>
  <c r="O23" i="124" a="1"/>
  <c r="O23" i="124" s="1"/>
  <c r="N23" i="124" a="1"/>
  <c r="N23" i="124" s="1"/>
  <c r="M23" i="124" a="1"/>
  <c r="M23" i="124" s="1"/>
  <c r="P23" i="124" a="1"/>
  <c r="P23" i="124" s="1"/>
  <c r="K24" i="111"/>
  <c r="M22" i="111" a="1"/>
  <c r="M22" i="111" s="1"/>
  <c r="N22" i="111" a="1"/>
  <c r="N22" i="111" s="1"/>
  <c r="O22" i="111" a="1"/>
  <c r="O22" i="111" s="1"/>
  <c r="P22" i="111" a="1"/>
  <c r="P22" i="111" s="1"/>
  <c r="J25" i="111"/>
  <c r="I25" i="111"/>
  <c r="H24" i="111"/>
  <c r="T26" i="111" a="1"/>
  <c r="T26" i="111" s="1"/>
  <c r="Y26" i="111"/>
  <c r="A26" i="111"/>
  <c r="C27" i="111"/>
  <c r="B27" i="111" s="1"/>
  <c r="T43" i="56"/>
  <c r="P43" i="56"/>
  <c r="C48" i="56"/>
  <c r="A47" i="56"/>
  <c r="H26" i="131" a="1"/>
  <c r="K26" i="130" a="1"/>
  <c r="T23" i="126" a="1"/>
  <c r="H26" i="130" a="1"/>
  <c r="L25" i="126" a="1"/>
  <c r="J27" i="132" a="1"/>
  <c r="K26" i="132" a="1"/>
  <c r="I27" i="128" a="1"/>
  <c r="K26" i="128" a="1"/>
  <c r="H26" i="133" a="1"/>
  <c r="H26" i="134" a="1"/>
  <c r="T22" i="124" a="1"/>
  <c r="T22" i="128" a="1"/>
  <c r="H26" i="127" a="1"/>
  <c r="I27" i="126" a="1"/>
  <c r="K26" i="129" a="1"/>
  <c r="T22" i="127" a="1"/>
  <c r="L24" i="125" a="1"/>
  <c r="L25" i="132" a="1"/>
  <c r="H26" i="128" a="1"/>
  <c r="J27" i="126" a="1"/>
  <c r="K26" i="127" a="1"/>
  <c r="H26" i="129" a="1"/>
  <c r="L25" i="125" a="1"/>
  <c r="T22" i="134" a="1"/>
  <c r="H26" i="126" a="1"/>
  <c r="T22" i="132" a="1"/>
  <c r="J27" i="134" a="1"/>
  <c r="H26" i="124" a="1"/>
  <c r="I27" i="133" a="1"/>
  <c r="J27" i="125" a="1"/>
  <c r="K26" i="134" a="1"/>
  <c r="K26" i="124" a="1"/>
  <c r="I27" i="125" a="1"/>
  <c r="T24" i="131" a="1"/>
  <c r="J27" i="129" a="1"/>
  <c r="J27" i="131" a="1"/>
  <c r="H26" i="125" a="1"/>
  <c r="K26" i="131" a="1"/>
  <c r="L24" i="124" a="1"/>
  <c r="L25" i="131" a="1"/>
  <c r="H26" i="135" a="1"/>
  <c r="I27" i="134" a="1"/>
  <c r="J27" i="133" a="1"/>
  <c r="K26" i="125" a="1"/>
  <c r="J26" i="111" a="1"/>
  <c r="J27" i="130" a="1"/>
  <c r="L25" i="127" a="1"/>
  <c r="L24" i="130" a="1"/>
  <c r="K25" i="111" a="1"/>
  <c r="T22" i="133" a="1"/>
  <c r="T22" i="131" a="1"/>
  <c r="L24" i="128" a="1"/>
  <c r="J27" i="127" a="1"/>
  <c r="T22" i="135" a="1"/>
  <c r="L24" i="127" a="1"/>
  <c r="I27" i="129" a="1"/>
  <c r="L23" i="111" a="1"/>
  <c r="I27" i="132" a="1"/>
  <c r="L25" i="124" a="1"/>
  <c r="T23" i="134" a="1"/>
  <c r="J27" i="135" a="1"/>
  <c r="J27" i="124" a="1"/>
  <c r="L25" i="135" a="1"/>
  <c r="H26" i="132" a="1"/>
  <c r="J27" i="128" a="1"/>
  <c r="I26" i="111" a="1"/>
  <c r="I27" i="131" a="1"/>
  <c r="K26" i="126" a="1"/>
  <c r="I27" i="124" a="1"/>
  <c r="I27" i="135" a="1"/>
  <c r="T22" i="130" a="1"/>
  <c r="L24" i="134" a="1"/>
  <c r="K26" i="135" a="1"/>
  <c r="I27" i="127" a="1"/>
  <c r="L25" i="130" a="1"/>
  <c r="H25" i="111" a="1"/>
  <c r="L25" i="128" a="1"/>
  <c r="K26" i="133" a="1"/>
  <c r="L25" i="134" a="1"/>
  <c r="I27" i="130" a="1"/>
  <c r="L25" i="129" a="1"/>
  <c r="L24" i="130" l="1"/>
  <c r="T22" i="134"/>
  <c r="L24" i="134"/>
  <c r="O23" i="134" a="1"/>
  <c r="O23" i="134" s="1"/>
  <c r="T23" i="134"/>
  <c r="T22" i="130"/>
  <c r="L23" i="111"/>
  <c r="P23" i="111" s="1" a="1"/>
  <c r="P23" i="111" s="1"/>
  <c r="L24" i="124"/>
  <c r="T23" i="126"/>
  <c r="L24" i="125"/>
  <c r="M24" i="125" s="1" a="1"/>
  <c r="M24" i="125" s="1"/>
  <c r="L24" i="127"/>
  <c r="M24" i="127" s="1" a="1"/>
  <c r="M24" i="127" s="1"/>
  <c r="L24" i="128"/>
  <c r="O24" i="128" s="1" a="1"/>
  <c r="O24" i="128" s="1"/>
  <c r="T22" i="127"/>
  <c r="T22" i="132"/>
  <c r="T22" i="135"/>
  <c r="T22" i="131"/>
  <c r="T22" i="124"/>
  <c r="T24" i="131"/>
  <c r="T22" i="128"/>
  <c r="T22" i="133"/>
  <c r="L25" i="124"/>
  <c r="L25" i="132"/>
  <c r="L25" i="130"/>
  <c r="L25" i="127"/>
  <c r="L25" i="126"/>
  <c r="I27" i="124"/>
  <c r="J27" i="124"/>
  <c r="L25" i="125"/>
  <c r="J27" i="129"/>
  <c r="I27" i="129"/>
  <c r="H26" i="128"/>
  <c r="L25" i="135"/>
  <c r="J27" i="132"/>
  <c r="I27" i="132"/>
  <c r="J27" i="130"/>
  <c r="I27" i="130"/>
  <c r="J27" i="133"/>
  <c r="I27" i="133"/>
  <c r="K26" i="130"/>
  <c r="H26" i="135"/>
  <c r="K26" i="134"/>
  <c r="I27" i="131"/>
  <c r="J27" i="131"/>
  <c r="L25" i="131"/>
  <c r="L25" i="129"/>
  <c r="H26" i="124"/>
  <c r="K26" i="135"/>
  <c r="H26" i="129"/>
  <c r="J27" i="125"/>
  <c r="I27" i="125"/>
  <c r="K26" i="124"/>
  <c r="K26" i="129"/>
  <c r="J27" i="127"/>
  <c r="I27" i="127"/>
  <c r="I27" i="128"/>
  <c r="J27" i="128"/>
  <c r="H26" i="127"/>
  <c r="L25" i="134"/>
  <c r="J27" i="126"/>
  <c r="I27" i="126"/>
  <c r="K26" i="127"/>
  <c r="H26" i="125"/>
  <c r="K26" i="133"/>
  <c r="K26" i="132"/>
  <c r="K26" i="125"/>
  <c r="K26" i="131"/>
  <c r="H26" i="133"/>
  <c r="H26" i="126"/>
  <c r="J27" i="135"/>
  <c r="I27" i="135"/>
  <c r="H26" i="131"/>
  <c r="K26" i="126"/>
  <c r="L25" i="128"/>
  <c r="H26" i="132"/>
  <c r="J27" i="134"/>
  <c r="I27" i="134"/>
  <c r="H26" i="130"/>
  <c r="K26" i="128"/>
  <c r="H26" i="134"/>
  <c r="A28" i="132"/>
  <c r="C29" i="132"/>
  <c r="Y28" i="132"/>
  <c r="B28" i="132"/>
  <c r="A28" i="130"/>
  <c r="Y28" i="130"/>
  <c r="B28" i="130"/>
  <c r="C29" i="130"/>
  <c r="Y28" i="135"/>
  <c r="C29" i="135"/>
  <c r="B28" i="135"/>
  <c r="A28" i="135"/>
  <c r="P24" i="132" a="1"/>
  <c r="P24" i="132" s="1"/>
  <c r="O24" i="132" a="1"/>
  <c r="O24" i="132" s="1"/>
  <c r="N24" i="132" a="1"/>
  <c r="N24" i="132" s="1"/>
  <c r="M24" i="132" a="1"/>
  <c r="M24" i="132" s="1"/>
  <c r="B28" i="128"/>
  <c r="Y28" i="128"/>
  <c r="A28" i="128"/>
  <c r="C29" i="128"/>
  <c r="C29" i="134"/>
  <c r="Y28" i="134"/>
  <c r="A28" i="134"/>
  <c r="B28" i="134"/>
  <c r="P24" i="126" a="1"/>
  <c r="P24" i="126" s="1"/>
  <c r="O24" i="126" a="1"/>
  <c r="O24" i="126" s="1"/>
  <c r="N24" i="126" a="1"/>
  <c r="N24" i="126" s="1"/>
  <c r="M24" i="126" a="1"/>
  <c r="M24" i="126" s="1"/>
  <c r="C29" i="131"/>
  <c r="B28" i="131"/>
  <c r="Y28" i="131"/>
  <c r="A28" i="131"/>
  <c r="N24" i="127" a="1"/>
  <c r="N24" i="127" s="1"/>
  <c r="O24" i="129" a="1"/>
  <c r="O24" i="129" s="1"/>
  <c r="N24" i="129" a="1"/>
  <c r="N24" i="129" s="1"/>
  <c r="M24" i="129" a="1"/>
  <c r="M24" i="129" s="1"/>
  <c r="P24" i="129" a="1"/>
  <c r="P24" i="129" s="1"/>
  <c r="Y28" i="127"/>
  <c r="C29" i="127"/>
  <c r="B28" i="127"/>
  <c r="A28" i="127"/>
  <c r="Y28" i="125"/>
  <c r="B28" i="125"/>
  <c r="A28" i="125"/>
  <c r="C29" i="125"/>
  <c r="C29" i="124"/>
  <c r="Y28" i="124"/>
  <c r="A28" i="124"/>
  <c r="B28" i="124"/>
  <c r="Y28" i="129"/>
  <c r="B28" i="129"/>
  <c r="A28" i="129"/>
  <c r="C29" i="129"/>
  <c r="M24" i="131" a="1"/>
  <c r="M24" i="131" s="1"/>
  <c r="O24" i="131" a="1"/>
  <c r="O24" i="131" s="1"/>
  <c r="P24" i="131" a="1"/>
  <c r="P24" i="131" s="1"/>
  <c r="N24" i="131" a="1"/>
  <c r="N24" i="131" s="1"/>
  <c r="C29" i="126"/>
  <c r="Y28" i="126"/>
  <c r="B28" i="126"/>
  <c r="A28" i="126"/>
  <c r="N24" i="135" a="1"/>
  <c r="N24" i="135" s="1"/>
  <c r="M24" i="135" a="1"/>
  <c r="M24" i="135" s="1"/>
  <c r="P24" i="135" a="1"/>
  <c r="P24" i="135" s="1"/>
  <c r="O24" i="135" a="1"/>
  <c r="O24" i="135" s="1"/>
  <c r="N24" i="134" a="1"/>
  <c r="N24" i="134" s="1"/>
  <c r="M24" i="134" a="1"/>
  <c r="M24" i="134" s="1"/>
  <c r="P24" i="134" a="1"/>
  <c r="P24" i="134" s="1"/>
  <c r="O24" i="134" a="1"/>
  <c r="O24" i="134" s="1"/>
  <c r="N24" i="130" a="1"/>
  <c r="N24" i="130" s="1"/>
  <c r="O24" i="130" a="1"/>
  <c r="O24" i="130" s="1"/>
  <c r="M24" i="130" a="1"/>
  <c r="M24" i="130" s="1"/>
  <c r="P24" i="130" a="1"/>
  <c r="P24" i="130" s="1"/>
  <c r="A28" i="133"/>
  <c r="B28" i="133"/>
  <c r="C29" i="133"/>
  <c r="Y28" i="133"/>
  <c r="N24" i="133" a="1"/>
  <c r="N24" i="133" s="1"/>
  <c r="O24" i="133" a="1"/>
  <c r="O24" i="133" s="1"/>
  <c r="M24" i="133" a="1"/>
  <c r="M24" i="133" s="1"/>
  <c r="P24" i="133" a="1"/>
  <c r="P24" i="133" s="1"/>
  <c r="M24" i="124" a="1"/>
  <c r="M24" i="124" s="1"/>
  <c r="P24" i="124" a="1"/>
  <c r="P24" i="124" s="1"/>
  <c r="O24" i="124" a="1"/>
  <c r="O24" i="124" s="1"/>
  <c r="N24" i="124" a="1"/>
  <c r="N24" i="124" s="1"/>
  <c r="K25" i="111"/>
  <c r="J26" i="111"/>
  <c r="I26" i="111"/>
  <c r="H25" i="111"/>
  <c r="T27" i="111" a="1"/>
  <c r="T27" i="111" s="1"/>
  <c r="A27" i="111"/>
  <c r="Y27" i="111"/>
  <c r="C28" i="111"/>
  <c r="B28" i="111" s="1"/>
  <c r="L46" i="56"/>
  <c r="C49" i="56"/>
  <c r="A48" i="56"/>
  <c r="T25" i="128" a="1"/>
  <c r="H27" i="130" a="1"/>
  <c r="K27" i="128" a="1"/>
  <c r="H27" i="128" a="1"/>
  <c r="H27" i="124" a="1"/>
  <c r="J28" i="130" a="1"/>
  <c r="K27" i="130" a="1"/>
  <c r="J28" i="131" a="1"/>
  <c r="K27" i="134" a="1"/>
  <c r="H27" i="129" a="1"/>
  <c r="K27" i="124" a="1"/>
  <c r="L26" i="131" a="1"/>
  <c r="J28" i="135" a="1"/>
  <c r="T23" i="131" a="1"/>
  <c r="L26" i="130" a="1"/>
  <c r="H27" i="127" a="1"/>
  <c r="J28" i="134" a="1"/>
  <c r="L25" i="133" a="1"/>
  <c r="T24" i="126" a="1"/>
  <c r="J28" i="133" a="1"/>
  <c r="J28" i="125" a="1"/>
  <c r="K27" i="125" a="1"/>
  <c r="T23" i="130" a="1"/>
  <c r="H27" i="134" a="1"/>
  <c r="J28" i="132" a="1"/>
  <c r="I28" i="124" a="1"/>
  <c r="J28" i="126" a="1"/>
  <c r="I28" i="134" a="1"/>
  <c r="H26" i="111" a="1"/>
  <c r="K27" i="135" a="1"/>
  <c r="H27" i="126" a="1"/>
  <c r="K27" i="126" a="1"/>
  <c r="T23" i="128" a="1"/>
  <c r="H27" i="133" a="1"/>
  <c r="I28" i="126" a="1"/>
  <c r="I28" i="125" a="1"/>
  <c r="I28" i="133" a="1"/>
  <c r="T23" i="135" a="1"/>
  <c r="H27" i="131" a="1"/>
  <c r="I28" i="127" a="1"/>
  <c r="L26" i="128" a="1"/>
  <c r="T24" i="130" a="1"/>
  <c r="I28" i="132" a="1"/>
  <c r="K27" i="127" a="1"/>
  <c r="I28" i="128" a="1"/>
  <c r="J28" i="124" a="1"/>
  <c r="K27" i="132" a="1"/>
  <c r="T23" i="132" a="1"/>
  <c r="J28" i="129" a="1"/>
  <c r="J27" i="111" a="1"/>
  <c r="I27" i="111" a="1"/>
  <c r="H27" i="135" a="1"/>
  <c r="H27" i="132" a="1"/>
  <c r="L26" i="135" a="1"/>
  <c r="T23" i="124" a="1"/>
  <c r="T23" i="133" a="1"/>
  <c r="I28" i="129" a="1"/>
  <c r="J28" i="127" a="1"/>
  <c r="K27" i="133" a="1"/>
  <c r="I28" i="131" a="1"/>
  <c r="L24" i="111" a="1"/>
  <c r="J28" i="128" a="1"/>
  <c r="I28" i="130" a="1"/>
  <c r="I28" i="135" a="1"/>
  <c r="T23" i="127" a="1"/>
  <c r="T23" i="129" a="1"/>
  <c r="K26" i="111" a="1"/>
  <c r="K27" i="129" a="1"/>
  <c r="K27" i="131" a="1"/>
  <c r="H27" i="125" a="1"/>
  <c r="N23" i="111" l="1" a="1"/>
  <c r="N23" i="111" s="1"/>
  <c r="M23" i="111" a="1"/>
  <c r="M23" i="111" s="1"/>
  <c r="L25" i="133"/>
  <c r="T23" i="128"/>
  <c r="T23" i="135"/>
  <c r="O23" i="111" a="1"/>
  <c r="O23" i="111" s="1"/>
  <c r="L24" i="111"/>
  <c r="P24" i="111" s="1" a="1"/>
  <c r="P24" i="111" s="1"/>
  <c r="O24" i="125" a="1"/>
  <c r="O24" i="125" s="1"/>
  <c r="O24" i="127" a="1"/>
  <c r="O24" i="127" s="1"/>
  <c r="N24" i="128" a="1"/>
  <c r="N24" i="128" s="1"/>
  <c r="P24" i="128" a="1"/>
  <c r="P24" i="128" s="1"/>
  <c r="M24" i="128" a="1"/>
  <c r="M24" i="128" s="1"/>
  <c r="P24" i="127" a="1"/>
  <c r="P24" i="127" s="1"/>
  <c r="T23" i="131"/>
  <c r="P24" i="125" a="1"/>
  <c r="P24" i="125" s="1"/>
  <c r="N24" i="125" a="1"/>
  <c r="N24" i="125" s="1"/>
  <c r="T23" i="124"/>
  <c r="T23" i="133"/>
  <c r="T23" i="127"/>
  <c r="T24" i="126"/>
  <c r="T25" i="128"/>
  <c r="T23" i="129"/>
  <c r="T23" i="130"/>
  <c r="T23" i="132"/>
  <c r="T24" i="130"/>
  <c r="L26" i="135"/>
  <c r="L26" i="131"/>
  <c r="J28" i="125"/>
  <c r="I28" i="125"/>
  <c r="K27" i="134"/>
  <c r="H27" i="126"/>
  <c r="H27" i="130"/>
  <c r="J28" i="133"/>
  <c r="I28" i="133"/>
  <c r="L26" i="128"/>
  <c r="K27" i="126"/>
  <c r="K27" i="131"/>
  <c r="K27" i="130"/>
  <c r="K27" i="124"/>
  <c r="J28" i="124"/>
  <c r="I28" i="124"/>
  <c r="J28" i="130"/>
  <c r="I28" i="130"/>
  <c r="H27" i="125"/>
  <c r="H27" i="131"/>
  <c r="H27" i="132"/>
  <c r="H27" i="124"/>
  <c r="J28" i="127"/>
  <c r="I28" i="127"/>
  <c r="I28" i="131"/>
  <c r="J28" i="131"/>
  <c r="J28" i="128"/>
  <c r="I28" i="128"/>
  <c r="K27" i="125"/>
  <c r="K27" i="132"/>
  <c r="J28" i="134"/>
  <c r="I28" i="134"/>
  <c r="K27" i="128"/>
  <c r="L26" i="130"/>
  <c r="I28" i="126"/>
  <c r="J28" i="126"/>
  <c r="I28" i="132"/>
  <c r="J28" i="132"/>
  <c r="H27" i="128"/>
  <c r="J28" i="135"/>
  <c r="I28" i="135"/>
  <c r="H27" i="135"/>
  <c r="H27" i="127"/>
  <c r="H27" i="133"/>
  <c r="H27" i="129"/>
  <c r="I28" i="129"/>
  <c r="J28" i="129"/>
  <c r="H27" i="134"/>
  <c r="K27" i="135"/>
  <c r="K27" i="127"/>
  <c r="K27" i="133"/>
  <c r="K27" i="129"/>
  <c r="Y29" i="127"/>
  <c r="C30" i="127"/>
  <c r="A29" i="127"/>
  <c r="B29" i="127"/>
  <c r="M25" i="131" a="1"/>
  <c r="M25" i="131" s="1"/>
  <c r="O25" i="131" a="1"/>
  <c r="O25" i="131" s="1"/>
  <c r="P25" i="131" a="1"/>
  <c r="P25" i="131" s="1"/>
  <c r="N25" i="131" a="1"/>
  <c r="N25" i="131" s="1"/>
  <c r="N25" i="125" a="1"/>
  <c r="N25" i="125" s="1"/>
  <c r="P25" i="125" a="1"/>
  <c r="P25" i="125" s="1"/>
  <c r="O25" i="125" a="1"/>
  <c r="O25" i="125" s="1"/>
  <c r="M25" i="125" a="1"/>
  <c r="M25" i="125" s="1"/>
  <c r="A29" i="130"/>
  <c r="Y29" i="130"/>
  <c r="C30" i="130"/>
  <c r="B29" i="130"/>
  <c r="A29" i="133"/>
  <c r="C30" i="133"/>
  <c r="B29" i="133"/>
  <c r="Y29" i="133"/>
  <c r="B29" i="128"/>
  <c r="A29" i="128"/>
  <c r="C30" i="128"/>
  <c r="Y29" i="128"/>
  <c r="O25" i="128" a="1"/>
  <c r="O25" i="128" s="1"/>
  <c r="P25" i="128" a="1"/>
  <c r="P25" i="128" s="1"/>
  <c r="N25" i="128" a="1"/>
  <c r="N25" i="128" s="1"/>
  <c r="M25" i="128" a="1"/>
  <c r="M25" i="128" s="1"/>
  <c r="N25" i="134" a="1"/>
  <c r="N25" i="134" s="1"/>
  <c r="M25" i="134" a="1"/>
  <c r="M25" i="134" s="1"/>
  <c r="P25" i="134" a="1"/>
  <c r="P25" i="134" s="1"/>
  <c r="O25" i="134" a="1"/>
  <c r="O25" i="134" s="1"/>
  <c r="M25" i="126" a="1"/>
  <c r="M25" i="126" s="1"/>
  <c r="P25" i="126" a="1"/>
  <c r="P25" i="126" s="1"/>
  <c r="O25" i="126" a="1"/>
  <c r="O25" i="126" s="1"/>
  <c r="N25" i="126" a="1"/>
  <c r="N25" i="126" s="1"/>
  <c r="N25" i="127" a="1"/>
  <c r="N25" i="127" s="1"/>
  <c r="M25" i="127" a="1"/>
  <c r="M25" i="127" s="1"/>
  <c r="P25" i="127" a="1"/>
  <c r="P25" i="127" s="1"/>
  <c r="O25" i="127" a="1"/>
  <c r="O25" i="127" s="1"/>
  <c r="C30" i="131"/>
  <c r="B29" i="131"/>
  <c r="A29" i="131"/>
  <c r="Y29" i="131"/>
  <c r="N25" i="135" a="1"/>
  <c r="N25" i="135" s="1"/>
  <c r="M25" i="135" a="1"/>
  <c r="M25" i="135" s="1"/>
  <c r="P25" i="135" a="1"/>
  <c r="P25" i="135" s="1"/>
  <c r="O25" i="135" a="1"/>
  <c r="O25" i="135" s="1"/>
  <c r="C30" i="129"/>
  <c r="Y29" i="129"/>
  <c r="B29" i="129"/>
  <c r="A29" i="129"/>
  <c r="B29" i="124"/>
  <c r="A29" i="124"/>
  <c r="C30" i="124"/>
  <c r="Y29" i="124"/>
  <c r="P25" i="133" a="1"/>
  <c r="P25" i="133" s="1"/>
  <c r="N25" i="133" a="1"/>
  <c r="N25" i="133" s="1"/>
  <c r="M25" i="133" a="1"/>
  <c r="M25" i="133" s="1"/>
  <c r="O25" i="133" a="1"/>
  <c r="O25" i="133" s="1"/>
  <c r="N25" i="130" a="1"/>
  <c r="N25" i="130" s="1"/>
  <c r="P25" i="130" a="1"/>
  <c r="P25" i="130" s="1"/>
  <c r="O25" i="130" a="1"/>
  <c r="O25" i="130" s="1"/>
  <c r="M25" i="130" a="1"/>
  <c r="M25" i="130" s="1"/>
  <c r="Y29" i="125"/>
  <c r="A29" i="125"/>
  <c r="C30" i="125"/>
  <c r="B29" i="125"/>
  <c r="O25" i="132" a="1"/>
  <c r="O25" i="132" s="1"/>
  <c r="N25" i="132" a="1"/>
  <c r="N25" i="132" s="1"/>
  <c r="M25" i="132" a="1"/>
  <c r="M25" i="132" s="1"/>
  <c r="P25" i="132" a="1"/>
  <c r="P25" i="132" s="1"/>
  <c r="C30" i="126"/>
  <c r="A29" i="126"/>
  <c r="Y29" i="126"/>
  <c r="B29" i="126"/>
  <c r="C30" i="134"/>
  <c r="Y29" i="134"/>
  <c r="B29" i="134"/>
  <c r="A29" i="134"/>
  <c r="Y29" i="135"/>
  <c r="C30" i="135"/>
  <c r="B29" i="135"/>
  <c r="A29" i="135"/>
  <c r="A29" i="132"/>
  <c r="Y29" i="132"/>
  <c r="B29" i="132"/>
  <c r="C30" i="132"/>
  <c r="M25" i="129" a="1"/>
  <c r="M25" i="129" s="1"/>
  <c r="P25" i="129" a="1"/>
  <c r="P25" i="129" s="1"/>
  <c r="O25" i="129" a="1"/>
  <c r="O25" i="129" s="1"/>
  <c r="N25" i="129" a="1"/>
  <c r="N25" i="129" s="1"/>
  <c r="N25" i="124" a="1"/>
  <c r="N25" i="124" s="1"/>
  <c r="M25" i="124" a="1"/>
  <c r="M25" i="124" s="1"/>
  <c r="P25" i="124" a="1"/>
  <c r="P25" i="124" s="1"/>
  <c r="O25" i="124" a="1"/>
  <c r="O25" i="124" s="1"/>
  <c r="K26" i="111"/>
  <c r="M24" i="111" a="1"/>
  <c r="M24" i="111" s="1"/>
  <c r="N24" i="111" a="1"/>
  <c r="N24" i="111" s="1"/>
  <c r="O24" i="111" a="1"/>
  <c r="O24" i="111" s="1"/>
  <c r="J27" i="111"/>
  <c r="I27" i="111"/>
  <c r="H26" i="111"/>
  <c r="T28" i="111" a="1"/>
  <c r="T28" i="111" s="1"/>
  <c r="C29" i="111"/>
  <c r="B29" i="111" s="1"/>
  <c r="A28" i="111"/>
  <c r="Y28" i="111"/>
  <c r="O46" i="56"/>
  <c r="N46" i="56"/>
  <c r="M46" i="56"/>
  <c r="L47" i="56"/>
  <c r="P46" i="56"/>
  <c r="C50" i="56"/>
  <c r="A50" i="56" s="1"/>
  <c r="A49" i="56"/>
  <c r="L26" i="125" a="1"/>
  <c r="T24" i="132" a="1"/>
  <c r="L25" i="111" a="1"/>
  <c r="H28" i="128" a="1"/>
  <c r="I29" i="133" a="1"/>
  <c r="K28" i="127" a="1"/>
  <c r="J29" i="130" a="1"/>
  <c r="L27" i="124" a="1"/>
  <c r="K28" i="131" a="1"/>
  <c r="T24" i="128" a="1"/>
  <c r="I29" i="125" a="1"/>
  <c r="L26" i="133" a="1"/>
  <c r="H28" i="127" a="1"/>
  <c r="L26" i="134" a="1"/>
  <c r="L27" i="132" a="1"/>
  <c r="H28" i="133" a="1"/>
  <c r="I28" i="111" a="1"/>
  <c r="J29" i="129" a="1"/>
  <c r="K28" i="128" a="1"/>
  <c r="K27" i="111" a="1"/>
  <c r="L26" i="127" a="1"/>
  <c r="I29" i="124" a="1"/>
  <c r="J29" i="128" a="1"/>
  <c r="I29" i="134" a="1"/>
  <c r="H28" i="124" a="1"/>
  <c r="J29" i="135" a="1"/>
  <c r="K28" i="125" a="1"/>
  <c r="K28" i="133" a="1"/>
  <c r="I29" i="129" a="1"/>
  <c r="T24" i="133" a="1"/>
  <c r="K28" i="126" a="1"/>
  <c r="L27" i="130" a="1"/>
  <c r="J29" i="126" a="1"/>
  <c r="J29" i="132" a="1"/>
  <c r="H28" i="132" a="1"/>
  <c r="I29" i="131" a="1"/>
  <c r="K28" i="134" a="1"/>
  <c r="L26" i="129" a="1"/>
  <c r="H28" i="125" a="1"/>
  <c r="T24" i="124" a="1"/>
  <c r="J29" i="133" a="1"/>
  <c r="I29" i="126" a="1"/>
  <c r="J29" i="125" a="1"/>
  <c r="T24" i="129" a="1"/>
  <c r="I29" i="128" a="1"/>
  <c r="H27" i="111" a="1"/>
  <c r="T24" i="127" a="1"/>
  <c r="K28" i="132" a="1"/>
  <c r="T24" i="135" a="1"/>
  <c r="I29" i="135" a="1"/>
  <c r="H28" i="129" a="1"/>
  <c r="T24" i="125" a="1"/>
  <c r="L27" i="128" a="1"/>
  <c r="H28" i="135" a="1"/>
  <c r="K28" i="135" a="1"/>
  <c r="H28" i="126" a="1"/>
  <c r="I29" i="132" a="1"/>
  <c r="K28" i="124" a="1"/>
  <c r="H28" i="131" a="1"/>
  <c r="J29" i="131" a="1"/>
  <c r="H28" i="134" a="1"/>
  <c r="L26" i="124" a="1"/>
  <c r="K28" i="130" a="1"/>
  <c r="I29" i="130" a="1"/>
  <c r="J29" i="124" a="1"/>
  <c r="L26" i="132" a="1"/>
  <c r="I29" i="127" a="1"/>
  <c r="J29" i="134" a="1"/>
  <c r="L26" i="111" a="1"/>
  <c r="T24" i="134" a="1"/>
  <c r="J29" i="127" a="1"/>
  <c r="K28" i="129" a="1"/>
  <c r="J28" i="111" a="1"/>
  <c r="L26" i="126" a="1"/>
  <c r="H28" i="130" a="1"/>
  <c r="T25" i="126" a="1"/>
  <c r="L26" i="134" l="1"/>
  <c r="L26" i="125"/>
  <c r="T24" i="133"/>
  <c r="L25" i="111"/>
  <c r="M25" i="111" s="1" a="1"/>
  <c r="M25" i="111" s="1"/>
  <c r="L26" i="124"/>
  <c r="L26" i="133"/>
  <c r="L26" i="132"/>
  <c r="O26" i="132" s="1" a="1"/>
  <c r="O26" i="132" s="1"/>
  <c r="T24" i="128"/>
  <c r="L26" i="129"/>
  <c r="P26" i="129" s="1" a="1"/>
  <c r="P26" i="129" s="1"/>
  <c r="L26" i="127"/>
  <c r="M26" i="127" s="1" a="1"/>
  <c r="M26" i="127" s="1"/>
  <c r="L26" i="126"/>
  <c r="O26" i="126" s="1" a="1"/>
  <c r="O26" i="126" s="1"/>
  <c r="T24" i="125"/>
  <c r="T24" i="134"/>
  <c r="T24" i="127"/>
  <c r="T25" i="126"/>
  <c r="T24" i="124"/>
  <c r="T24" i="135"/>
  <c r="T24" i="132"/>
  <c r="T24" i="129"/>
  <c r="L27" i="128"/>
  <c r="J29" i="134"/>
  <c r="I29" i="134"/>
  <c r="J29" i="125"/>
  <c r="I29" i="125"/>
  <c r="J29" i="124"/>
  <c r="I29" i="124"/>
  <c r="J29" i="130"/>
  <c r="I29" i="130"/>
  <c r="J29" i="127"/>
  <c r="I29" i="127"/>
  <c r="H28" i="135"/>
  <c r="L27" i="130"/>
  <c r="K28" i="129"/>
  <c r="K28" i="135"/>
  <c r="K28" i="131"/>
  <c r="J29" i="129"/>
  <c r="I29" i="129"/>
  <c r="H28" i="134"/>
  <c r="H28" i="131"/>
  <c r="H28" i="125"/>
  <c r="J29" i="126"/>
  <c r="I29" i="126"/>
  <c r="L27" i="124"/>
  <c r="H28" i="129"/>
  <c r="L27" i="132"/>
  <c r="J29" i="128"/>
  <c r="I29" i="128"/>
  <c r="K28" i="134"/>
  <c r="H28" i="127"/>
  <c r="H28" i="130"/>
  <c r="K28" i="125"/>
  <c r="J29" i="135"/>
  <c r="I29" i="135"/>
  <c r="K28" i="132"/>
  <c r="K28" i="127"/>
  <c r="K28" i="130"/>
  <c r="I29" i="131"/>
  <c r="J29" i="131"/>
  <c r="J29" i="133"/>
  <c r="I29" i="133"/>
  <c r="H28" i="132"/>
  <c r="H28" i="124"/>
  <c r="H28" i="133"/>
  <c r="K28" i="126"/>
  <c r="H28" i="128"/>
  <c r="K28" i="124"/>
  <c r="K28" i="133"/>
  <c r="J29" i="132"/>
  <c r="I29" i="132"/>
  <c r="H28" i="126"/>
  <c r="K28" i="128"/>
  <c r="C31" i="134"/>
  <c r="Y30" i="134"/>
  <c r="B30" i="134"/>
  <c r="A30" i="134"/>
  <c r="Y30" i="125"/>
  <c r="C31" i="125"/>
  <c r="B30" i="125"/>
  <c r="A30" i="125"/>
  <c r="N26" i="130" a="1"/>
  <c r="N26" i="130" s="1"/>
  <c r="O26" i="130" a="1"/>
  <c r="O26" i="130" s="1"/>
  <c r="M26" i="130" a="1"/>
  <c r="M26" i="130" s="1"/>
  <c r="P26" i="130" a="1"/>
  <c r="P26" i="130" s="1"/>
  <c r="P26" i="124" a="1"/>
  <c r="P26" i="124" s="1"/>
  <c r="O26" i="124" a="1"/>
  <c r="O26" i="124" s="1"/>
  <c r="N26" i="124" a="1"/>
  <c r="N26" i="124" s="1"/>
  <c r="M26" i="124" a="1"/>
  <c r="M26" i="124" s="1"/>
  <c r="B30" i="128"/>
  <c r="C31" i="128"/>
  <c r="Y30" i="128"/>
  <c r="A30" i="128"/>
  <c r="B30" i="130"/>
  <c r="A30" i="130"/>
  <c r="Y30" i="130"/>
  <c r="C31" i="130"/>
  <c r="Y30" i="127"/>
  <c r="C31" i="127"/>
  <c r="B30" i="127"/>
  <c r="A30" i="127"/>
  <c r="A30" i="132"/>
  <c r="B30" i="132"/>
  <c r="C31" i="132"/>
  <c r="Y30" i="132"/>
  <c r="Y30" i="135"/>
  <c r="C31" i="135"/>
  <c r="B30" i="135"/>
  <c r="A30" i="135"/>
  <c r="B30" i="129"/>
  <c r="A30" i="129"/>
  <c r="C31" i="129"/>
  <c r="Y30" i="129"/>
  <c r="O26" i="128" a="1"/>
  <c r="O26" i="128" s="1"/>
  <c r="P26" i="128" a="1"/>
  <c r="P26" i="128" s="1"/>
  <c r="N26" i="128" a="1"/>
  <c r="N26" i="128" s="1"/>
  <c r="M26" i="128" a="1"/>
  <c r="M26" i="128" s="1"/>
  <c r="M26" i="131" a="1"/>
  <c r="M26" i="131" s="1"/>
  <c r="O26" i="131" a="1"/>
  <c r="O26" i="131" s="1"/>
  <c r="P26" i="131" a="1"/>
  <c r="P26" i="131" s="1"/>
  <c r="N26" i="131" a="1"/>
  <c r="N26" i="131" s="1"/>
  <c r="O26" i="133" a="1"/>
  <c r="O26" i="133" s="1"/>
  <c r="N26" i="133" a="1"/>
  <c r="N26" i="133" s="1"/>
  <c r="M26" i="133" a="1"/>
  <c r="M26" i="133" s="1"/>
  <c r="P26" i="133" a="1"/>
  <c r="P26" i="133" s="1"/>
  <c r="C31" i="126"/>
  <c r="B30" i="126"/>
  <c r="A30" i="126"/>
  <c r="Y30" i="126"/>
  <c r="Y30" i="124"/>
  <c r="B30" i="124"/>
  <c r="A30" i="124"/>
  <c r="C31" i="124"/>
  <c r="C31" i="131"/>
  <c r="B30" i="131"/>
  <c r="A30" i="131"/>
  <c r="Y30" i="131"/>
  <c r="A30" i="133"/>
  <c r="C31" i="133"/>
  <c r="B30" i="133"/>
  <c r="Y30" i="133"/>
  <c r="N26" i="125" a="1"/>
  <c r="N26" i="125" s="1"/>
  <c r="O26" i="125" a="1"/>
  <c r="O26" i="125" s="1"/>
  <c r="M26" i="125" a="1"/>
  <c r="M26" i="125" s="1"/>
  <c r="P26" i="125" a="1"/>
  <c r="P26" i="125" s="1"/>
  <c r="N26" i="134" a="1"/>
  <c r="N26" i="134" s="1"/>
  <c r="M26" i="134" a="1"/>
  <c r="M26" i="134" s="1"/>
  <c r="P26" i="134" a="1"/>
  <c r="P26" i="134" s="1"/>
  <c r="O26" i="134" a="1"/>
  <c r="O26" i="134" s="1"/>
  <c r="N26" i="135" a="1"/>
  <c r="N26" i="135" s="1"/>
  <c r="M26" i="135" a="1"/>
  <c r="M26" i="135" s="1"/>
  <c r="P26" i="135" a="1"/>
  <c r="P26" i="135" s="1"/>
  <c r="O26" i="135" a="1"/>
  <c r="O26" i="135" s="1"/>
  <c r="K27" i="111"/>
  <c r="L26" i="111"/>
  <c r="N25" i="111" a="1"/>
  <c r="N25" i="111" s="1"/>
  <c r="O25" i="111" a="1"/>
  <c r="O25" i="111" s="1"/>
  <c r="P25" i="111" a="1"/>
  <c r="P25" i="111" s="1"/>
  <c r="H27" i="111"/>
  <c r="J28" i="111"/>
  <c r="I28" i="111"/>
  <c r="T29" i="111" a="1"/>
  <c r="T29" i="111" s="1"/>
  <c r="Y29" i="111"/>
  <c r="A29" i="111"/>
  <c r="C30" i="111"/>
  <c r="B30" i="111" s="1"/>
  <c r="T46" i="56"/>
  <c r="O47" i="56"/>
  <c r="N47" i="56"/>
  <c r="M47" i="56"/>
  <c r="P47" i="56"/>
  <c r="L48" i="56"/>
  <c r="T25" i="135" a="1"/>
  <c r="K29" i="132" a="1"/>
  <c r="T26" i="124" a="1"/>
  <c r="H29" i="135" a="1"/>
  <c r="L28" i="131" a="1"/>
  <c r="K29" i="127" a="1"/>
  <c r="K29" i="134" a="1"/>
  <c r="H29" i="131" a="1"/>
  <c r="I30" i="132" a="1"/>
  <c r="H29" i="127" a="1"/>
  <c r="T25" i="133" a="1"/>
  <c r="L28" i="129" a="1"/>
  <c r="J29" i="111" a="1"/>
  <c r="I30" i="124" a="1"/>
  <c r="T25" i="124" a="1"/>
  <c r="L28" i="124" a="1"/>
  <c r="L28" i="133" a="1"/>
  <c r="J30" i="130" a="1"/>
  <c r="K29" i="131" a="1"/>
  <c r="H29" i="128" a="1"/>
  <c r="J30" i="131" a="1"/>
  <c r="I30" i="133" a="1"/>
  <c r="J30" i="132" a="1"/>
  <c r="K29" i="135" a="1"/>
  <c r="J30" i="126" a="1"/>
  <c r="J30" i="133" a="1"/>
  <c r="L27" i="133" a="1"/>
  <c r="L27" i="131" a="1"/>
  <c r="T25" i="127" a="1"/>
  <c r="I29" i="111" a="1"/>
  <c r="T25" i="130" a="1"/>
  <c r="L27" i="126" a="1"/>
  <c r="K29" i="130" a="1"/>
  <c r="K29" i="124" a="1"/>
  <c r="I30" i="128" a="1"/>
  <c r="I30" i="131" a="1"/>
  <c r="T25" i="131" a="1"/>
  <c r="K29" i="126" a="1"/>
  <c r="I30" i="129" a="1"/>
  <c r="H29" i="130" a="1"/>
  <c r="L28" i="128" a="1"/>
  <c r="K29" i="128" a="1"/>
  <c r="T25" i="129" a="1"/>
  <c r="H29" i="124" a="1"/>
  <c r="T25" i="125" a="1"/>
  <c r="J30" i="134" a="1"/>
  <c r="L27" i="135" a="1"/>
  <c r="H29" i="126" a="1"/>
  <c r="K29" i="125" a="1"/>
  <c r="I30" i="126" a="1"/>
  <c r="H28" i="111" a="1"/>
  <c r="H29" i="125" a="1"/>
  <c r="J30" i="135" a="1"/>
  <c r="I30" i="127" a="1"/>
  <c r="J30" i="124" a="1"/>
  <c r="T25" i="134" a="1"/>
  <c r="L27" i="125" a="1"/>
  <c r="K29" i="133" a="1"/>
  <c r="J30" i="125" a="1"/>
  <c r="J30" i="127" a="1"/>
  <c r="L27" i="127" a="1"/>
  <c r="J30" i="128" a="1"/>
  <c r="T25" i="132" a="1"/>
  <c r="T26" i="133" a="1"/>
  <c r="K28" i="111" a="1"/>
  <c r="L28" i="134" a="1"/>
  <c r="H29" i="129" a="1"/>
  <c r="I30" i="135" a="1"/>
  <c r="H29" i="133" a="1"/>
  <c r="I30" i="130" a="1"/>
  <c r="J30" i="129" a="1"/>
  <c r="L27" i="134" a="1"/>
  <c r="I30" i="134" a="1"/>
  <c r="H29" i="132" a="1"/>
  <c r="I30" i="125" a="1"/>
  <c r="L27" i="129" a="1"/>
  <c r="K29" i="129" a="1"/>
  <c r="T27" i="130" a="1"/>
  <c r="H29" i="134" a="1"/>
  <c r="L28" i="132" a="1"/>
  <c r="M26" i="132" l="1" a="1"/>
  <c r="M26" i="132" s="1"/>
  <c r="N26" i="132" a="1"/>
  <c r="N26" i="132" s="1"/>
  <c r="O26" i="127" a="1"/>
  <c r="O26" i="127" s="1"/>
  <c r="N26" i="129" a="1"/>
  <c r="N26" i="129" s="1"/>
  <c r="P26" i="132" a="1"/>
  <c r="P26" i="132" s="1"/>
  <c r="M26" i="129" a="1"/>
  <c r="M26" i="129" s="1"/>
  <c r="O26" i="129" a="1"/>
  <c r="O26" i="129" s="1"/>
  <c r="L27" i="134"/>
  <c r="P27" i="134" s="1" a="1"/>
  <c r="P27" i="134" s="1"/>
  <c r="L27" i="131"/>
  <c r="L27" i="127"/>
  <c r="N27" i="127" s="1" a="1"/>
  <c r="N27" i="127" s="1"/>
  <c r="N26" i="127" a="1"/>
  <c r="N26" i="127" s="1"/>
  <c r="P26" i="127" a="1"/>
  <c r="P26" i="127" s="1"/>
  <c r="P26" i="126" a="1"/>
  <c r="P26" i="126" s="1"/>
  <c r="M26" i="126" a="1"/>
  <c r="M26" i="126" s="1"/>
  <c r="N26" i="126" a="1"/>
  <c r="N26" i="126" s="1"/>
  <c r="T25" i="133"/>
  <c r="L27" i="126"/>
  <c r="M27" i="126" s="1" a="1"/>
  <c r="M27" i="126" s="1"/>
  <c r="L27" i="135"/>
  <c r="M27" i="135" s="1" a="1"/>
  <c r="M27" i="135" s="1"/>
  <c r="T26" i="133"/>
  <c r="T26" i="124"/>
  <c r="T25" i="129"/>
  <c r="T25" i="124"/>
  <c r="L27" i="125"/>
  <c r="M27" i="125" s="1" a="1"/>
  <c r="M27" i="125" s="1"/>
  <c r="L27" i="133"/>
  <c r="O27" i="133" s="1" a="1"/>
  <c r="O27" i="133" s="1"/>
  <c r="L27" i="129"/>
  <c r="T25" i="135"/>
  <c r="T25" i="134"/>
  <c r="T25" i="130"/>
  <c r="T27" i="130"/>
  <c r="T25" i="132"/>
  <c r="T25" i="125"/>
  <c r="T25" i="127"/>
  <c r="T25" i="131"/>
  <c r="L28" i="134"/>
  <c r="L28" i="124"/>
  <c r="L28" i="129"/>
  <c r="L28" i="132"/>
  <c r="I30" i="131"/>
  <c r="J30" i="131"/>
  <c r="I30" i="133"/>
  <c r="J30" i="133"/>
  <c r="I30" i="132"/>
  <c r="J30" i="132"/>
  <c r="H29" i="133"/>
  <c r="H29" i="135"/>
  <c r="H29" i="129"/>
  <c r="H29" i="127"/>
  <c r="H29" i="134"/>
  <c r="J30" i="135"/>
  <c r="I30" i="135"/>
  <c r="J30" i="130"/>
  <c r="I30" i="130"/>
  <c r="K29" i="133"/>
  <c r="K29" i="135"/>
  <c r="K29" i="129"/>
  <c r="K29" i="127"/>
  <c r="K29" i="134"/>
  <c r="J30" i="127"/>
  <c r="I30" i="127"/>
  <c r="H29" i="130"/>
  <c r="J30" i="125"/>
  <c r="I30" i="125"/>
  <c r="K29" i="131"/>
  <c r="H29" i="126"/>
  <c r="K29" i="130"/>
  <c r="L28" i="133"/>
  <c r="L28" i="131"/>
  <c r="H29" i="131"/>
  <c r="K29" i="126"/>
  <c r="H29" i="124"/>
  <c r="J30" i="128"/>
  <c r="I30" i="128"/>
  <c r="K29" i="124"/>
  <c r="H29" i="132"/>
  <c r="H29" i="128"/>
  <c r="H29" i="125"/>
  <c r="I30" i="124"/>
  <c r="J30" i="124"/>
  <c r="J30" i="126"/>
  <c r="I30" i="126"/>
  <c r="L28" i="128"/>
  <c r="J30" i="129"/>
  <c r="I30" i="129"/>
  <c r="J30" i="134"/>
  <c r="I30" i="134"/>
  <c r="K29" i="132"/>
  <c r="K29" i="128"/>
  <c r="K29" i="125"/>
  <c r="Y31" i="129"/>
  <c r="B31" i="129"/>
  <c r="A31" i="129"/>
  <c r="C32" i="129"/>
  <c r="C32" i="131"/>
  <c r="B31" i="131"/>
  <c r="A31" i="131"/>
  <c r="Y31" i="131"/>
  <c r="C32" i="126"/>
  <c r="Y31" i="126"/>
  <c r="B31" i="126"/>
  <c r="A31" i="126"/>
  <c r="B31" i="130"/>
  <c r="A31" i="130"/>
  <c r="Y31" i="130"/>
  <c r="C32" i="130"/>
  <c r="A31" i="132"/>
  <c r="B31" i="132"/>
  <c r="Y31" i="132"/>
  <c r="C32" i="132"/>
  <c r="P27" i="132" a="1"/>
  <c r="P27" i="132" s="1"/>
  <c r="O27" i="132" a="1"/>
  <c r="O27" i="132" s="1"/>
  <c r="N27" i="132" a="1"/>
  <c r="N27" i="132" s="1"/>
  <c r="M27" i="132" a="1"/>
  <c r="M27" i="132" s="1"/>
  <c r="C32" i="134"/>
  <c r="Y31" i="134"/>
  <c r="B31" i="134"/>
  <c r="A31" i="134"/>
  <c r="Y31" i="135"/>
  <c r="C32" i="135"/>
  <c r="B31" i="135"/>
  <c r="A31" i="135"/>
  <c r="M27" i="124" a="1"/>
  <c r="M27" i="124" s="1"/>
  <c r="P27" i="124" a="1"/>
  <c r="P27" i="124" s="1"/>
  <c r="O27" i="124" a="1"/>
  <c r="O27" i="124" s="1"/>
  <c r="N27" i="124" a="1"/>
  <c r="N27" i="124" s="1"/>
  <c r="P27" i="129" a="1"/>
  <c r="P27" i="129" s="1"/>
  <c r="O27" i="129" a="1"/>
  <c r="O27" i="129" s="1"/>
  <c r="N27" i="129" a="1"/>
  <c r="N27" i="129" s="1"/>
  <c r="M27" i="129" a="1"/>
  <c r="M27" i="129" s="1"/>
  <c r="N27" i="135" a="1"/>
  <c r="N27" i="135" s="1"/>
  <c r="Y31" i="127"/>
  <c r="C32" i="127"/>
  <c r="B31" i="127"/>
  <c r="A31" i="127"/>
  <c r="B31" i="128"/>
  <c r="C32" i="128"/>
  <c r="A31" i="128"/>
  <c r="Y31" i="128"/>
  <c r="Y31" i="125"/>
  <c r="C32" i="125"/>
  <c r="B31" i="125"/>
  <c r="A31" i="125"/>
  <c r="N27" i="126" a="1"/>
  <c r="N27" i="126" s="1"/>
  <c r="M27" i="131" a="1"/>
  <c r="M27" i="131" s="1"/>
  <c r="O27" i="131" a="1"/>
  <c r="O27" i="131" s="1"/>
  <c r="P27" i="131" a="1"/>
  <c r="P27" i="131" s="1"/>
  <c r="N27" i="131" a="1"/>
  <c r="N27" i="131" s="1"/>
  <c r="O27" i="128" a="1"/>
  <c r="O27" i="128" s="1"/>
  <c r="N27" i="128" a="1"/>
  <c r="N27" i="128" s="1"/>
  <c r="M27" i="128" a="1"/>
  <c r="M27" i="128" s="1"/>
  <c r="P27" i="128" a="1"/>
  <c r="P27" i="128" s="1"/>
  <c r="N27" i="130" a="1"/>
  <c r="N27" i="130" s="1"/>
  <c r="P27" i="130" a="1"/>
  <c r="P27" i="130" s="1"/>
  <c r="O27" i="130" a="1"/>
  <c r="O27" i="130" s="1"/>
  <c r="M27" i="130" a="1"/>
  <c r="M27" i="130" s="1"/>
  <c r="A31" i="133"/>
  <c r="Y31" i="133"/>
  <c r="C32" i="133"/>
  <c r="B31" i="133"/>
  <c r="A31" i="124"/>
  <c r="C32" i="124"/>
  <c r="Y31" i="124"/>
  <c r="B31" i="124"/>
  <c r="K28" i="111"/>
  <c r="M26" i="111" a="1"/>
  <c r="M26" i="111" s="1"/>
  <c r="N26" i="111" a="1"/>
  <c r="N26" i="111" s="1"/>
  <c r="O26" i="111" a="1"/>
  <c r="O26" i="111" s="1"/>
  <c r="P26" i="111" a="1"/>
  <c r="P26" i="111" s="1"/>
  <c r="J29" i="111"/>
  <c r="I29" i="111"/>
  <c r="H28" i="111"/>
  <c r="T30" i="111" a="1"/>
  <c r="T30" i="111" s="1"/>
  <c r="Y30" i="111"/>
  <c r="C31" i="111"/>
  <c r="B31" i="111" s="1"/>
  <c r="A30" i="111"/>
  <c r="T47" i="56"/>
  <c r="O48" i="56"/>
  <c r="N48" i="56"/>
  <c r="M48" i="56"/>
  <c r="L49" i="56"/>
  <c r="P48" i="56"/>
  <c r="L50" i="56"/>
  <c r="J31" i="127" a="1"/>
  <c r="T26" i="130" a="1"/>
  <c r="T26" i="125" a="1"/>
  <c r="J31" i="124" a="1"/>
  <c r="T26" i="126" a="1"/>
  <c r="I30" i="111" a="1"/>
  <c r="I31" i="131" a="1"/>
  <c r="I31" i="132" a="1"/>
  <c r="K30" i="130" a="1"/>
  <c r="T26" i="128" a="1"/>
  <c r="I31" i="124" a="1"/>
  <c r="L28" i="111" a="1"/>
  <c r="J31" i="128" a="1"/>
  <c r="I31" i="125" a="1"/>
  <c r="L29" i="128" a="1"/>
  <c r="H30" i="134" a="1"/>
  <c r="K30" i="134" a="1"/>
  <c r="L27" i="111" a="1"/>
  <c r="I31" i="129" a="1"/>
  <c r="L28" i="127" a="1"/>
  <c r="L28" i="126" a="1"/>
  <c r="J31" i="134" a="1"/>
  <c r="H30" i="132" a="1"/>
  <c r="I31" i="130" a="1"/>
  <c r="L28" i="135" a="1"/>
  <c r="K30" i="127" a="1"/>
  <c r="T28" i="132" a="1"/>
  <c r="I31" i="134" a="1"/>
  <c r="K30" i="125" a="1"/>
  <c r="I31" i="126" a="1"/>
  <c r="K30" i="131" a="1"/>
  <c r="H30" i="129" a="1"/>
  <c r="L28" i="130" a="1"/>
  <c r="J31" i="133" a="1"/>
  <c r="H30" i="124" a="1"/>
  <c r="J31" i="130" a="1"/>
  <c r="J30" i="111" a="1"/>
  <c r="J31" i="131" a="1"/>
  <c r="K30" i="133" a="1"/>
  <c r="I31" i="133" a="1"/>
  <c r="I31" i="128" a="1"/>
  <c r="T26" i="135" a="1"/>
  <c r="H30" i="131" a="1"/>
  <c r="H30" i="128" a="1"/>
  <c r="T26" i="127" a="1"/>
  <c r="K30" i="128" a="1"/>
  <c r="H30" i="126" a="1"/>
  <c r="K30" i="135" a="1"/>
  <c r="T26" i="129" a="1"/>
  <c r="J31" i="135" a="1"/>
  <c r="I31" i="135" a="1"/>
  <c r="H30" i="127" a="1"/>
  <c r="T26" i="132" a="1"/>
  <c r="H30" i="135" a="1"/>
  <c r="K30" i="132" a="1"/>
  <c r="L28" i="125" a="1"/>
  <c r="H30" i="125" a="1"/>
  <c r="T26" i="131" a="1"/>
  <c r="K30" i="124" a="1"/>
  <c r="L29" i="129" a="1"/>
  <c r="K30" i="126" a="1"/>
  <c r="K29" i="111" a="1"/>
  <c r="L29" i="132" a="1"/>
  <c r="J31" i="126" a="1"/>
  <c r="L29" i="130" a="1"/>
  <c r="L29" i="133" a="1"/>
  <c r="L29" i="135" a="1"/>
  <c r="H29" i="111" a="1"/>
  <c r="J31" i="132" a="1"/>
  <c r="H30" i="130" a="1"/>
  <c r="I31" i="127" a="1"/>
  <c r="J31" i="129" a="1"/>
  <c r="H30" i="133" a="1"/>
  <c r="T26" i="134" a="1"/>
  <c r="K30" i="129" a="1"/>
  <c r="J31" i="125" a="1"/>
  <c r="M27" i="134" l="1" a="1"/>
  <c r="M27" i="134" s="1"/>
  <c r="N27" i="125" a="1"/>
  <c r="N27" i="125" s="1"/>
  <c r="N27" i="134" a="1"/>
  <c r="N27" i="134" s="1"/>
  <c r="O27" i="134" a="1"/>
  <c r="O27" i="134" s="1"/>
  <c r="O27" i="127" a="1"/>
  <c r="O27" i="127" s="1"/>
  <c r="P27" i="127" a="1"/>
  <c r="P27" i="127" s="1"/>
  <c r="O27" i="135" a="1"/>
  <c r="O27" i="135" s="1"/>
  <c r="M27" i="127" a="1"/>
  <c r="M27" i="127" s="1"/>
  <c r="P27" i="135" a="1"/>
  <c r="P27" i="135" s="1"/>
  <c r="T26" i="127"/>
  <c r="T26" i="130"/>
  <c r="T26" i="132"/>
  <c r="O27" i="126" a="1"/>
  <c r="O27" i="126" s="1"/>
  <c r="P27" i="126" a="1"/>
  <c r="P27" i="126" s="1"/>
  <c r="N27" i="133" a="1"/>
  <c r="N27" i="133" s="1"/>
  <c r="P27" i="133" a="1"/>
  <c r="P27" i="133" s="1"/>
  <c r="M27" i="133" a="1"/>
  <c r="M27" i="133" s="1"/>
  <c r="L28" i="135"/>
  <c r="N28" i="135" s="1" a="1"/>
  <c r="N28" i="135" s="1"/>
  <c r="L28" i="127"/>
  <c r="M28" i="127" s="1" a="1"/>
  <c r="M28" i="127" s="1"/>
  <c r="O27" i="125" a="1"/>
  <c r="O27" i="125" s="1"/>
  <c r="P27" i="125" a="1"/>
  <c r="P27" i="125" s="1"/>
  <c r="L28" i="125"/>
  <c r="N28" i="125" s="1" a="1"/>
  <c r="N28" i="125" s="1"/>
  <c r="L28" i="130"/>
  <c r="P28" i="130" s="1" a="1"/>
  <c r="P28" i="130" s="1"/>
  <c r="L28" i="126"/>
  <c r="P28" i="126" s="1" a="1"/>
  <c r="P28" i="126" s="1"/>
  <c r="L27" i="111"/>
  <c r="P27" i="111" s="1" a="1"/>
  <c r="P27" i="111" s="1"/>
  <c r="T28" i="132"/>
  <c r="T26" i="134"/>
  <c r="T26" i="125"/>
  <c r="T26" i="129"/>
  <c r="T26" i="126"/>
  <c r="T26" i="135"/>
  <c r="T26" i="128"/>
  <c r="T26" i="131"/>
  <c r="L29" i="129"/>
  <c r="L29" i="130"/>
  <c r="L29" i="135"/>
  <c r="L29" i="133"/>
  <c r="I31" i="128"/>
  <c r="J31" i="128"/>
  <c r="J31" i="127"/>
  <c r="I31" i="127"/>
  <c r="I31" i="131"/>
  <c r="J31" i="131"/>
  <c r="L29" i="132"/>
  <c r="J31" i="125"/>
  <c r="I31" i="125"/>
  <c r="J31" i="133"/>
  <c r="I31" i="133"/>
  <c r="J31" i="126"/>
  <c r="I31" i="126"/>
  <c r="K30" i="134"/>
  <c r="K30" i="125"/>
  <c r="H30" i="133"/>
  <c r="K30" i="131"/>
  <c r="H30" i="129"/>
  <c r="H30" i="131"/>
  <c r="J31" i="132"/>
  <c r="I31" i="132"/>
  <c r="I31" i="129"/>
  <c r="J31" i="129"/>
  <c r="J31" i="124"/>
  <c r="I31" i="124"/>
  <c r="K30" i="129"/>
  <c r="H30" i="127"/>
  <c r="J31" i="135"/>
  <c r="I31" i="135"/>
  <c r="H30" i="126"/>
  <c r="K30" i="127"/>
  <c r="H30" i="130"/>
  <c r="K30" i="132"/>
  <c r="H30" i="128"/>
  <c r="K30" i="130"/>
  <c r="H30" i="132"/>
  <c r="L29" i="128"/>
  <c r="K30" i="126"/>
  <c r="J31" i="130"/>
  <c r="I31" i="130"/>
  <c r="K30" i="124"/>
  <c r="K30" i="128"/>
  <c r="H30" i="135"/>
  <c r="J31" i="134"/>
  <c r="I31" i="134"/>
  <c r="H30" i="134"/>
  <c r="H30" i="124"/>
  <c r="H30" i="125"/>
  <c r="K30" i="135"/>
  <c r="K30" i="133"/>
  <c r="Y32" i="127"/>
  <c r="B32" i="127"/>
  <c r="A32" i="127"/>
  <c r="B32" i="131"/>
  <c r="A32" i="131"/>
  <c r="Y32" i="131"/>
  <c r="Y32" i="125"/>
  <c r="B32" i="125"/>
  <c r="A32" i="125"/>
  <c r="B32" i="126"/>
  <c r="A32" i="126"/>
  <c r="Y32" i="126"/>
  <c r="M28" i="131" a="1"/>
  <c r="M28" i="131" s="1"/>
  <c r="O28" i="131" a="1"/>
  <c r="O28" i="131" s="1"/>
  <c r="P28" i="131" a="1"/>
  <c r="P28" i="131" s="1"/>
  <c r="N28" i="131" a="1"/>
  <c r="N28" i="131" s="1"/>
  <c r="Y32" i="134"/>
  <c r="A32" i="134"/>
  <c r="B32" i="134"/>
  <c r="O28" i="128" a="1"/>
  <c r="O28" i="128" s="1"/>
  <c r="M28" i="128" a="1"/>
  <c r="M28" i="128" s="1"/>
  <c r="P28" i="128" a="1"/>
  <c r="P28" i="128" s="1"/>
  <c r="N28" i="128" a="1"/>
  <c r="N28" i="128" s="1"/>
  <c r="O28" i="135" a="1"/>
  <c r="O28" i="135" s="1"/>
  <c r="O28" i="133" a="1"/>
  <c r="O28" i="133" s="1"/>
  <c r="N28" i="133" a="1"/>
  <c r="N28" i="133" s="1"/>
  <c r="M28" i="133" a="1"/>
  <c r="M28" i="133" s="1"/>
  <c r="P28" i="133" a="1"/>
  <c r="P28" i="133" s="1"/>
  <c r="N28" i="132" a="1"/>
  <c r="N28" i="132" s="1"/>
  <c r="P28" i="132" a="1"/>
  <c r="P28" i="132" s="1"/>
  <c r="O28" i="132" a="1"/>
  <c r="O28" i="132" s="1"/>
  <c r="M28" i="132" a="1"/>
  <c r="M28" i="132" s="1"/>
  <c r="A32" i="133"/>
  <c r="B32" i="133"/>
  <c r="Y32" i="133"/>
  <c r="B32" i="130"/>
  <c r="A32" i="130"/>
  <c r="Y32" i="130"/>
  <c r="B32" i="124"/>
  <c r="A32" i="124"/>
  <c r="Y32" i="124"/>
  <c r="B32" i="128"/>
  <c r="A32" i="128"/>
  <c r="Y32" i="128"/>
  <c r="Y32" i="135"/>
  <c r="B32" i="135"/>
  <c r="A32" i="135"/>
  <c r="M28" i="129" a="1"/>
  <c r="M28" i="129" s="1"/>
  <c r="P28" i="129" a="1"/>
  <c r="P28" i="129" s="1"/>
  <c r="O28" i="129" a="1"/>
  <c r="O28" i="129" s="1"/>
  <c r="N28" i="129" a="1"/>
  <c r="N28" i="129" s="1"/>
  <c r="O28" i="124" a="1"/>
  <c r="O28" i="124" s="1"/>
  <c r="N28" i="124" a="1"/>
  <c r="N28" i="124" s="1"/>
  <c r="M28" i="124" a="1"/>
  <c r="M28" i="124" s="1"/>
  <c r="P28" i="124" a="1"/>
  <c r="P28" i="124" s="1"/>
  <c r="N28" i="134" a="1"/>
  <c r="N28" i="134" s="1"/>
  <c r="M28" i="134" a="1"/>
  <c r="M28" i="134" s="1"/>
  <c r="P28" i="134" a="1"/>
  <c r="P28" i="134" s="1"/>
  <c r="O28" i="134" a="1"/>
  <c r="O28" i="134" s="1"/>
  <c r="A32" i="132"/>
  <c r="B32" i="132"/>
  <c r="Y32" i="132"/>
  <c r="A32" i="129"/>
  <c r="Y32" i="129"/>
  <c r="B32" i="129"/>
  <c r="K29" i="111"/>
  <c r="L28" i="111"/>
  <c r="P28" i="111" s="1" a="1"/>
  <c r="P28" i="111" s="1"/>
  <c r="J30" i="111"/>
  <c r="I30" i="111"/>
  <c r="H29" i="111"/>
  <c r="T31" i="111" a="1"/>
  <c r="T31" i="111" s="1"/>
  <c r="A31" i="111"/>
  <c r="Y31" i="111"/>
  <c r="C32" i="111"/>
  <c r="B32" i="111" s="1"/>
  <c r="T48" i="56"/>
  <c r="O50" i="56"/>
  <c r="N50" i="56"/>
  <c r="M50" i="56"/>
  <c r="O49" i="56"/>
  <c r="N49" i="56"/>
  <c r="M49" i="56"/>
  <c r="P50" i="56"/>
  <c r="P49" i="56"/>
  <c r="T27" i="131" a="1"/>
  <c r="L30" i="132" a="1"/>
  <c r="K31" i="133" a="1"/>
  <c r="H31" i="134" a="1"/>
  <c r="I32" i="127" a="1"/>
  <c r="I32" i="126" a="1"/>
  <c r="L30" i="125" a="1"/>
  <c r="L30" i="126" a="1"/>
  <c r="J32" i="128" a="1"/>
  <c r="K31" i="131" a="1"/>
  <c r="J32" i="124" a="1"/>
  <c r="J32" i="133" a="1"/>
  <c r="L29" i="131" a="1"/>
  <c r="L30" i="135" a="1"/>
  <c r="L30" i="131" a="1"/>
  <c r="I32" i="129" a="1"/>
  <c r="I31" i="111" a="1"/>
  <c r="I32" i="125" a="1"/>
  <c r="J32" i="132" a="1"/>
  <c r="I32" i="132" a="1"/>
  <c r="K31" i="126" a="1"/>
  <c r="I32" i="130" a="1"/>
  <c r="K31" i="130" a="1"/>
  <c r="T27" i="126" a="1"/>
  <c r="T27" i="125" a="1"/>
  <c r="K30" i="111" a="1"/>
  <c r="L29" i="127" a="1"/>
  <c r="T27" i="134" a="1"/>
  <c r="H31" i="132" a="1"/>
  <c r="J32" i="129" a="1"/>
  <c r="H31" i="135" a="1"/>
  <c r="K31" i="135" a="1"/>
  <c r="J32" i="130" a="1"/>
  <c r="H31" i="129" a="1"/>
  <c r="J32" i="134" a="1"/>
  <c r="T27" i="127" a="1"/>
  <c r="T27" i="128" a="1"/>
  <c r="I32" i="133" a="1"/>
  <c r="H31" i="125" a="1"/>
  <c r="L29" i="126" a="1"/>
  <c r="J32" i="127" a="1"/>
  <c r="L30" i="129" a="1"/>
  <c r="J32" i="125" a="1"/>
  <c r="H31" i="128" a="1"/>
  <c r="K31" i="129" a="1"/>
  <c r="I32" i="124" a="1"/>
  <c r="K31" i="128" a="1"/>
  <c r="H31" i="124" a="1"/>
  <c r="H31" i="126" a="1"/>
  <c r="J32" i="135" a="1"/>
  <c r="J32" i="126" a="1"/>
  <c r="I32" i="134" a="1"/>
  <c r="H31" i="127" a="1"/>
  <c r="H30" i="111" a="1"/>
  <c r="T27" i="135" a="1"/>
  <c r="K31" i="132" a="1"/>
  <c r="K31" i="124" a="1"/>
  <c r="L29" i="111" a="1"/>
  <c r="T28" i="135" a="1"/>
  <c r="T27" i="129" a="1"/>
  <c r="I32" i="128" a="1"/>
  <c r="L29" i="124" a="1"/>
  <c r="T27" i="124" a="1"/>
  <c r="L29" i="125" a="1"/>
  <c r="L29" i="134" a="1"/>
  <c r="I32" i="135" a="1"/>
  <c r="J32" i="131" a="1"/>
  <c r="K31" i="134" a="1"/>
  <c r="T27" i="133" a="1"/>
  <c r="T27" i="132" a="1"/>
  <c r="H31" i="130" a="1"/>
  <c r="I32" i="131" a="1"/>
  <c r="H31" i="133" a="1"/>
  <c r="K31" i="125" a="1"/>
  <c r="H31" i="131" a="1"/>
  <c r="J31" i="111" a="1"/>
  <c r="T29" i="129" a="1"/>
  <c r="K31" i="127" a="1"/>
  <c r="P28" i="135" l="1" a="1"/>
  <c r="P28" i="135" s="1"/>
  <c r="M28" i="135" a="1"/>
  <c r="M28" i="135" s="1"/>
  <c r="T27" i="127"/>
  <c r="T27" i="131"/>
  <c r="O28" i="127" a="1"/>
  <c r="O28" i="127" s="1"/>
  <c r="N28" i="127" a="1"/>
  <c r="N28" i="127" s="1"/>
  <c r="T27" i="135"/>
  <c r="T27" i="128"/>
  <c r="O27" i="111" a="1"/>
  <c r="O27" i="111" s="1"/>
  <c r="L29" i="126"/>
  <c r="O29" i="126" s="1" a="1"/>
  <c r="O29" i="126" s="1"/>
  <c r="T27" i="132"/>
  <c r="P28" i="127" a="1"/>
  <c r="P28" i="127" s="1"/>
  <c r="O28" i="125" a="1"/>
  <c r="O28" i="125" s="1"/>
  <c r="N28" i="130" a="1"/>
  <c r="N28" i="130" s="1"/>
  <c r="M27" i="111" a="1"/>
  <c r="M27" i="111" s="1"/>
  <c r="N27" i="111" a="1"/>
  <c r="N27" i="111" s="1"/>
  <c r="T27" i="125"/>
  <c r="L29" i="134"/>
  <c r="L29" i="131"/>
  <c r="M29" i="131" s="1" a="1"/>
  <c r="M29" i="131" s="1"/>
  <c r="T28" i="135"/>
  <c r="O28" i="126" a="1"/>
  <c r="O28" i="126" s="1"/>
  <c r="M28" i="126" a="1"/>
  <c r="M28" i="126" s="1"/>
  <c r="N28" i="126" a="1"/>
  <c r="N28" i="126" s="1"/>
  <c r="P28" i="125" a="1"/>
  <c r="P28" i="125" s="1"/>
  <c r="M28" i="125" a="1"/>
  <c r="M28" i="125" s="1"/>
  <c r="L29" i="125"/>
  <c r="M29" i="125" s="1" a="1"/>
  <c r="M29" i="125" s="1"/>
  <c r="T27" i="126"/>
  <c r="L29" i="124"/>
  <c r="P29" i="124" s="1" a="1"/>
  <c r="P29" i="124" s="1"/>
  <c r="T27" i="124"/>
  <c r="L29" i="127"/>
  <c r="O29" i="127" s="1" a="1"/>
  <c r="O29" i="127" s="1"/>
  <c r="M28" i="130" a="1"/>
  <c r="M28" i="130" s="1"/>
  <c r="O28" i="130" a="1"/>
  <c r="O28" i="130" s="1"/>
  <c r="T29" i="129"/>
  <c r="T27" i="133"/>
  <c r="T27" i="129"/>
  <c r="T27" i="134"/>
  <c r="L30" i="131"/>
  <c r="L30" i="125"/>
  <c r="L30" i="129"/>
  <c r="L30" i="126"/>
  <c r="L30" i="132"/>
  <c r="L30" i="135"/>
  <c r="J32" i="126"/>
  <c r="I32" i="126"/>
  <c r="H31" i="130"/>
  <c r="J32" i="124"/>
  <c r="I32" i="124"/>
  <c r="K31" i="124"/>
  <c r="H31" i="125"/>
  <c r="H31" i="128"/>
  <c r="I32" i="131"/>
  <c r="J32" i="131"/>
  <c r="H31" i="134"/>
  <c r="K31" i="129"/>
  <c r="K31" i="125"/>
  <c r="K31" i="134"/>
  <c r="H31" i="135"/>
  <c r="H31" i="129"/>
  <c r="K31" i="135"/>
  <c r="H31" i="132"/>
  <c r="H31" i="126"/>
  <c r="K31" i="131"/>
  <c r="I32" i="132"/>
  <c r="J32" i="132"/>
  <c r="J32" i="130"/>
  <c r="I32" i="130"/>
  <c r="J32" i="127"/>
  <c r="I32" i="127"/>
  <c r="J32" i="134"/>
  <c r="I32" i="134"/>
  <c r="K31" i="132"/>
  <c r="K31" i="126"/>
  <c r="H31" i="131"/>
  <c r="H31" i="127"/>
  <c r="J32" i="128"/>
  <c r="I32" i="128"/>
  <c r="H31" i="133"/>
  <c r="K31" i="127"/>
  <c r="J32" i="135"/>
  <c r="I32" i="135"/>
  <c r="I32" i="133"/>
  <c r="J32" i="133"/>
  <c r="J32" i="129"/>
  <c r="I32" i="129"/>
  <c r="J32" i="125"/>
  <c r="I32" i="125"/>
  <c r="K31" i="130"/>
  <c r="H31" i="124"/>
  <c r="K31" i="133"/>
  <c r="K31" i="128"/>
  <c r="P29" i="133" a="1"/>
  <c r="P29" i="133" s="1"/>
  <c r="O29" i="133" a="1"/>
  <c r="O29" i="133" s="1"/>
  <c r="M29" i="133" a="1"/>
  <c r="M29" i="133" s="1"/>
  <c r="N29" i="133" a="1"/>
  <c r="N29" i="133" s="1"/>
  <c r="O29" i="128" a="1"/>
  <c r="O29" i="128" s="1"/>
  <c r="P29" i="128" a="1"/>
  <c r="P29" i="128" s="1"/>
  <c r="N29" i="128" a="1"/>
  <c r="N29" i="128" s="1"/>
  <c r="M29" i="128" a="1"/>
  <c r="M29" i="128" s="1"/>
  <c r="M29" i="132" a="1"/>
  <c r="M29" i="132" s="1"/>
  <c r="O29" i="132" a="1"/>
  <c r="O29" i="132" s="1"/>
  <c r="N29" i="132" a="1"/>
  <c r="N29" i="132" s="1"/>
  <c r="P29" i="132" a="1"/>
  <c r="P29" i="132" s="1"/>
  <c r="N29" i="135" a="1"/>
  <c r="N29" i="135" s="1"/>
  <c r="M29" i="135" a="1"/>
  <c r="M29" i="135" s="1"/>
  <c r="P29" i="135" a="1"/>
  <c r="P29" i="135" s="1"/>
  <c r="O29" i="135" a="1"/>
  <c r="O29" i="135" s="1"/>
  <c r="O29" i="130" a="1"/>
  <c r="O29" i="130" s="1"/>
  <c r="N29" i="130" a="1"/>
  <c r="N29" i="130" s="1"/>
  <c r="P29" i="130" a="1"/>
  <c r="P29" i="130" s="1"/>
  <c r="M29" i="130" a="1"/>
  <c r="M29" i="130" s="1"/>
  <c r="O29" i="129" a="1"/>
  <c r="O29" i="129" s="1"/>
  <c r="N29" i="129" a="1"/>
  <c r="N29" i="129" s="1"/>
  <c r="M29" i="129" a="1"/>
  <c r="M29" i="129" s="1"/>
  <c r="P29" i="129" a="1"/>
  <c r="P29" i="129" s="1"/>
  <c r="N29" i="134" a="1"/>
  <c r="N29" i="134" s="1"/>
  <c r="M29" i="134" a="1"/>
  <c r="M29" i="134" s="1"/>
  <c r="P29" i="134" a="1"/>
  <c r="P29" i="134" s="1"/>
  <c r="O29" i="134" a="1"/>
  <c r="O29" i="134" s="1"/>
  <c r="P29" i="126" a="1"/>
  <c r="P29" i="126" s="1"/>
  <c r="N29" i="126" a="1"/>
  <c r="N29" i="126" s="1"/>
  <c r="K30" i="111"/>
  <c r="L29" i="111"/>
  <c r="M28" i="111" a="1"/>
  <c r="M28" i="111" s="1"/>
  <c r="O28" i="111" a="1"/>
  <c r="O28" i="111" s="1"/>
  <c r="N28" i="111" a="1"/>
  <c r="N28" i="111" s="1"/>
  <c r="J31" i="111"/>
  <c r="I31" i="111"/>
  <c r="H30" i="111"/>
  <c r="T32" i="111" a="1"/>
  <c r="T32" i="111" s="1"/>
  <c r="A32" i="111"/>
  <c r="Y32" i="111"/>
  <c r="T50" i="56"/>
  <c r="T49" i="56"/>
  <c r="L31" i="129" a="1"/>
  <c r="L31" i="127" a="1"/>
  <c r="T33" i="111" a="1"/>
  <c r="K32" i="131" a="1"/>
  <c r="K32" i="134" a="1"/>
  <c r="H32" i="129" a="1"/>
  <c r="H32" i="132" a="1"/>
  <c r="T28" i="134" a="1"/>
  <c r="T28" i="129" a="1"/>
  <c r="K32" i="133" a="1"/>
  <c r="L30" i="124" a="1"/>
  <c r="T28" i="133" a="1"/>
  <c r="L30" i="130" a="1"/>
  <c r="L30" i="134" a="1"/>
  <c r="K32" i="128" a="1"/>
  <c r="K32" i="132" a="1"/>
  <c r="T28" i="125" a="1"/>
  <c r="K32" i="129" a="1"/>
  <c r="H32" i="134" a="1"/>
  <c r="H32" i="130" a="1"/>
  <c r="K32" i="127" a="1"/>
  <c r="L30" i="127" a="1"/>
  <c r="H32" i="133" a="1"/>
  <c r="K32" i="130" a="1"/>
  <c r="I32" i="111" a="1"/>
  <c r="H32" i="124" a="1"/>
  <c r="J32" i="111" a="1"/>
  <c r="K32" i="126" a="1"/>
  <c r="T30" i="126" a="1"/>
  <c r="H31" i="111" a="1"/>
  <c r="T28" i="128" a="1"/>
  <c r="H32" i="125" a="1"/>
  <c r="H32" i="131" a="1"/>
  <c r="H32" i="135" a="1"/>
  <c r="H32" i="126" a="1"/>
  <c r="T28" i="124" a="1"/>
  <c r="K31" i="111" a="1"/>
  <c r="K32" i="124" a="1"/>
  <c r="L30" i="133" a="1"/>
  <c r="K32" i="125" a="1"/>
  <c r="T28" i="127" a="1"/>
  <c r="T28" i="131" a="1"/>
  <c r="L31" i="125" a="1"/>
  <c r="L30" i="128" a="1"/>
  <c r="K32" i="135" a="1"/>
  <c r="H32" i="128" a="1"/>
  <c r="H32" i="127" a="1"/>
  <c r="L31" i="131" a="1"/>
  <c r="L30" i="130" l="1"/>
  <c r="T28" i="129"/>
  <c r="L30" i="133"/>
  <c r="O30" i="133" s="1" a="1"/>
  <c r="O30" i="133" s="1"/>
  <c r="O29" i="131" a="1"/>
  <c r="O29" i="131" s="1"/>
  <c r="L30" i="127"/>
  <c r="M30" i="127" s="1" a="1"/>
  <c r="M30" i="127" s="1"/>
  <c r="L30" i="128"/>
  <c r="N30" i="128" s="1" a="1"/>
  <c r="N30" i="128" s="1"/>
  <c r="N29" i="131" a="1"/>
  <c r="N29" i="131" s="1"/>
  <c r="P29" i="131" a="1"/>
  <c r="P29" i="131" s="1"/>
  <c r="M29" i="126" a="1"/>
  <c r="M29" i="126" s="1"/>
  <c r="N29" i="125" a="1"/>
  <c r="N29" i="125" s="1"/>
  <c r="T28" i="128"/>
  <c r="M29" i="124" a="1"/>
  <c r="M29" i="124" s="1"/>
  <c r="O29" i="124" a="1"/>
  <c r="O29" i="124" s="1"/>
  <c r="L30" i="124"/>
  <c r="M30" i="124" s="1" a="1"/>
  <c r="M30" i="124" s="1"/>
  <c r="T28" i="134"/>
  <c r="N29" i="124" a="1"/>
  <c r="N29" i="124" s="1"/>
  <c r="P29" i="127" a="1"/>
  <c r="P29" i="127" s="1"/>
  <c r="O29" i="125" a="1"/>
  <c r="O29" i="125" s="1"/>
  <c r="N29" i="127" a="1"/>
  <c r="N29" i="127" s="1"/>
  <c r="P29" i="125" a="1"/>
  <c r="P29" i="125" s="1"/>
  <c r="L30" i="134"/>
  <c r="N30" i="134" s="1" a="1"/>
  <c r="N30" i="134" s="1"/>
  <c r="M29" i="127" a="1"/>
  <c r="M29" i="127" s="1"/>
  <c r="T28" i="133"/>
  <c r="T28" i="125"/>
  <c r="T30" i="126"/>
  <c r="T28" i="127"/>
  <c r="T28" i="131"/>
  <c r="T28" i="124"/>
  <c r="L31" i="125"/>
  <c r="L31" i="127"/>
  <c r="K32" i="128"/>
  <c r="H32" i="126"/>
  <c r="L31" i="131"/>
  <c r="H32" i="125"/>
  <c r="H32" i="135"/>
  <c r="H32" i="130"/>
  <c r="K32" i="125"/>
  <c r="K32" i="135"/>
  <c r="K32" i="130"/>
  <c r="H32" i="129"/>
  <c r="K32" i="132"/>
  <c r="K32" i="129"/>
  <c r="H32" i="132"/>
  <c r="H32" i="124"/>
  <c r="K32" i="133"/>
  <c r="H32" i="134"/>
  <c r="K32" i="124"/>
  <c r="H32" i="133"/>
  <c r="H32" i="128"/>
  <c r="K32" i="134"/>
  <c r="H32" i="127"/>
  <c r="K32" i="131"/>
  <c r="L31" i="129"/>
  <c r="K32" i="127"/>
  <c r="H32" i="131"/>
  <c r="K32" i="126"/>
  <c r="P30" i="128" a="1"/>
  <c r="P30" i="128" s="1"/>
  <c r="M30" i="128" a="1"/>
  <c r="M30" i="128" s="1"/>
  <c r="N30" i="135" a="1"/>
  <c r="N30" i="135" s="1"/>
  <c r="M30" i="135" a="1"/>
  <c r="M30" i="135" s="1"/>
  <c r="P30" i="135" a="1"/>
  <c r="P30" i="135" s="1"/>
  <c r="O30" i="135" a="1"/>
  <c r="O30" i="135" s="1"/>
  <c r="P30" i="132" a="1"/>
  <c r="P30" i="132" s="1"/>
  <c r="O30" i="132" a="1"/>
  <c r="O30" i="132" s="1"/>
  <c r="N30" i="132" a="1"/>
  <c r="N30" i="132" s="1"/>
  <c r="M30" i="132" a="1"/>
  <c r="M30" i="132" s="1"/>
  <c r="M30" i="126" a="1"/>
  <c r="M30" i="126" s="1"/>
  <c r="P30" i="126" a="1"/>
  <c r="P30" i="126" s="1"/>
  <c r="O30" i="126" a="1"/>
  <c r="O30" i="126" s="1"/>
  <c r="N30" i="126" a="1"/>
  <c r="N30" i="126" s="1"/>
  <c r="O30" i="130" a="1"/>
  <c r="O30" i="130" s="1"/>
  <c r="N30" i="130" a="1"/>
  <c r="N30" i="130" s="1"/>
  <c r="P30" i="130" a="1"/>
  <c r="P30" i="130" s="1"/>
  <c r="M30" i="130" a="1"/>
  <c r="M30" i="130" s="1"/>
  <c r="P30" i="129" a="1"/>
  <c r="P30" i="129" s="1"/>
  <c r="O30" i="129" a="1"/>
  <c r="O30" i="129" s="1"/>
  <c r="N30" i="129" a="1"/>
  <c r="N30" i="129" s="1"/>
  <c r="M30" i="129" a="1"/>
  <c r="M30" i="129" s="1"/>
  <c r="N30" i="125" a="1"/>
  <c r="N30" i="125" s="1"/>
  <c r="O30" i="125" a="1"/>
  <c r="O30" i="125" s="1"/>
  <c r="M30" i="125" a="1"/>
  <c r="M30" i="125" s="1"/>
  <c r="P30" i="125" a="1"/>
  <c r="P30" i="125" s="1"/>
  <c r="M30" i="131" a="1"/>
  <c r="M30" i="131" s="1"/>
  <c r="O30" i="131" a="1"/>
  <c r="O30" i="131" s="1"/>
  <c r="N30" i="131" a="1"/>
  <c r="N30" i="131" s="1"/>
  <c r="P30" i="131" a="1"/>
  <c r="P30" i="131" s="1"/>
  <c r="N30" i="124" a="1"/>
  <c r="N30" i="124" s="1"/>
  <c r="N30" i="127" a="1"/>
  <c r="N30" i="127" s="1"/>
  <c r="K31" i="111"/>
  <c r="O29" i="111" a="1"/>
  <c r="O29" i="111" s="1"/>
  <c r="M29" i="111" a="1"/>
  <c r="M29" i="111" s="1"/>
  <c r="N29" i="111" a="1"/>
  <c r="N29" i="111" s="1"/>
  <c r="P29" i="111" a="1"/>
  <c r="P29" i="111" s="1"/>
  <c r="I32" i="111"/>
  <c r="J32" i="111"/>
  <c r="H31" i="111"/>
  <c r="T33" i="111"/>
  <c r="L31" i="135" a="1"/>
  <c r="T29" i="132" a="1"/>
  <c r="T29" i="128" a="1"/>
  <c r="T29" i="126" a="1"/>
  <c r="L31" i="133" a="1"/>
  <c r="T29" i="124" a="1"/>
  <c r="H32" i="111" a="1"/>
  <c r="L31" i="130" a="1"/>
  <c r="T29" i="135" a="1"/>
  <c r="T29" i="133" a="1"/>
  <c r="L31" i="124" a="1"/>
  <c r="L32" i="135" a="1"/>
  <c r="L31" i="134" a="1"/>
  <c r="T29" i="134" a="1"/>
  <c r="T28" i="130" a="1"/>
  <c r="L31" i="128" a="1"/>
  <c r="L32" i="128" a="1"/>
  <c r="T29" i="130" a="1"/>
  <c r="L31" i="126" a="1"/>
  <c r="T28" i="126" a="1"/>
  <c r="L31" i="132" a="1"/>
  <c r="L32" i="127" a="1"/>
  <c r="T29" i="131" a="1"/>
  <c r="L30" i="111" a="1"/>
  <c r="K32" i="111" a="1"/>
  <c r="T31" i="131" a="1"/>
  <c r="L32" i="124" a="1"/>
  <c r="L32" i="126" a="1"/>
  <c r="L32" i="125" a="1"/>
  <c r="L31" i="133" l="1"/>
  <c r="M31" i="133" s="1" a="1"/>
  <c r="M31" i="133" s="1"/>
  <c r="M30" i="133" a="1"/>
  <c r="M30" i="133" s="1"/>
  <c r="P30" i="133" a="1"/>
  <c r="P30" i="133" s="1"/>
  <c r="N30" i="133" a="1"/>
  <c r="N30" i="133" s="1"/>
  <c r="T29" i="133"/>
  <c r="O30" i="127" a="1"/>
  <c r="O30" i="127" s="1"/>
  <c r="O30" i="128" a="1"/>
  <c r="O30" i="128" s="1"/>
  <c r="T28" i="126"/>
  <c r="P30" i="127" a="1"/>
  <c r="P30" i="127" s="1"/>
  <c r="T29" i="126"/>
  <c r="L31" i="135"/>
  <c r="L31" i="126"/>
  <c r="N31" i="126" s="1" a="1"/>
  <c r="N31" i="126" s="1"/>
  <c r="L31" i="128"/>
  <c r="M31" i="128" s="1" a="1"/>
  <c r="M31" i="128" s="1"/>
  <c r="L31" i="130"/>
  <c r="M31" i="130" s="1" a="1"/>
  <c r="M31" i="130" s="1"/>
  <c r="T29" i="134"/>
  <c r="O30" i="124" a="1"/>
  <c r="O30" i="124" s="1"/>
  <c r="P30" i="124" a="1"/>
  <c r="P30" i="124" s="1"/>
  <c r="O30" i="134" a="1"/>
  <c r="O30" i="134" s="1"/>
  <c r="L30" i="111"/>
  <c r="P30" i="111" s="1" a="1"/>
  <c r="P30" i="111" s="1"/>
  <c r="L31" i="124"/>
  <c r="O31" i="124" s="1" a="1"/>
  <c r="O31" i="124" s="1"/>
  <c r="L31" i="134"/>
  <c r="N31" i="134" s="1" a="1"/>
  <c r="N31" i="134" s="1"/>
  <c r="L31" i="132"/>
  <c r="O31" i="132" s="1" a="1"/>
  <c r="O31" i="132" s="1"/>
  <c r="T29" i="135"/>
  <c r="T28" i="130"/>
  <c r="P30" i="134" a="1"/>
  <c r="P30" i="134" s="1"/>
  <c r="M30" i="134" a="1"/>
  <c r="M30" i="134" s="1"/>
  <c r="T31" i="131"/>
  <c r="T29" i="128"/>
  <c r="T29" i="132"/>
  <c r="T29" i="131"/>
  <c r="T29" i="130"/>
  <c r="T29" i="124"/>
  <c r="L32" i="124"/>
  <c r="L32" i="128"/>
  <c r="L32" i="125"/>
  <c r="L32" i="135"/>
  <c r="L32" i="126"/>
  <c r="L32" i="127"/>
  <c r="M31" i="131" a="1"/>
  <c r="M31" i="131" s="1"/>
  <c r="O31" i="131" a="1"/>
  <c r="O31" i="131" s="1"/>
  <c r="N31" i="131" a="1"/>
  <c r="N31" i="131" s="1"/>
  <c r="P31" i="131" a="1"/>
  <c r="P31" i="131" s="1"/>
  <c r="N31" i="133" a="1"/>
  <c r="N31" i="133" s="1"/>
  <c r="O31" i="133" a="1"/>
  <c r="O31" i="133" s="1"/>
  <c r="N31" i="127" a="1"/>
  <c r="N31" i="127" s="1"/>
  <c r="M31" i="127" a="1"/>
  <c r="M31" i="127" s="1"/>
  <c r="P31" i="127" a="1"/>
  <c r="P31" i="127" s="1"/>
  <c r="O31" i="127" a="1"/>
  <c r="O31" i="127" s="1"/>
  <c r="N31" i="125" a="1"/>
  <c r="N31" i="125" s="1"/>
  <c r="M31" i="125" a="1"/>
  <c r="M31" i="125" s="1"/>
  <c r="P31" i="125" a="1"/>
  <c r="P31" i="125" s="1"/>
  <c r="O31" i="125" a="1"/>
  <c r="O31" i="125" s="1"/>
  <c r="N31" i="129" a="1"/>
  <c r="N31" i="129" s="1"/>
  <c r="M31" i="129" a="1"/>
  <c r="M31" i="129" s="1"/>
  <c r="P31" i="129" a="1"/>
  <c r="P31" i="129" s="1"/>
  <c r="O31" i="129" a="1"/>
  <c r="O31" i="129" s="1"/>
  <c r="N31" i="135" a="1"/>
  <c r="N31" i="135" s="1"/>
  <c r="M31" i="135" a="1"/>
  <c r="M31" i="135" s="1"/>
  <c r="P31" i="135" a="1"/>
  <c r="P31" i="135" s="1"/>
  <c r="O31" i="135" a="1"/>
  <c r="O31" i="135" s="1"/>
  <c r="K32" i="111"/>
  <c r="H32" i="111"/>
  <c r="L32" i="133" a="1"/>
  <c r="T30" i="135" a="1"/>
  <c r="T31" i="129" a="1"/>
  <c r="T30" i="131" a="1"/>
  <c r="T29" i="127" a="1"/>
  <c r="L32" i="129" a="1"/>
  <c r="L32" i="130" a="1"/>
  <c r="T30" i="129" a="1"/>
  <c r="T30" i="128" a="1"/>
  <c r="T30" i="130" a="1"/>
  <c r="T30" i="132" a="1"/>
  <c r="T31" i="127" a="1"/>
  <c r="L32" i="134" a="1"/>
  <c r="T29" i="125" a="1"/>
  <c r="T30" i="125" a="1"/>
  <c r="L32" i="132" a="1"/>
  <c r="T30" i="134" a="1"/>
  <c r="T30" i="124" a="1"/>
  <c r="T32" i="128" a="1"/>
  <c r="L31" i="111" a="1"/>
  <c r="L32" i="131" a="1"/>
  <c r="T30" i="133" a="1"/>
  <c r="T30" i="127" a="1"/>
  <c r="P31" i="133" l="1" a="1"/>
  <c r="P31" i="133" s="1"/>
  <c r="N31" i="130" a="1"/>
  <c r="N31" i="130" s="1"/>
  <c r="T30" i="127"/>
  <c r="L32" i="130"/>
  <c r="T29" i="125"/>
  <c r="L32" i="132"/>
  <c r="L32" i="134"/>
  <c r="N32" i="134" s="1" a="1"/>
  <c r="N32" i="134" s="1"/>
  <c r="T30" i="135"/>
  <c r="N31" i="128" a="1"/>
  <c r="N31" i="128" s="1"/>
  <c r="N30" i="111" a="1"/>
  <c r="N30" i="111" s="1"/>
  <c r="L31" i="111"/>
  <c r="N31" i="111" s="1" a="1"/>
  <c r="N31" i="111" s="1"/>
  <c r="P31" i="126" a="1"/>
  <c r="P31" i="126" s="1"/>
  <c r="O31" i="126" a="1"/>
  <c r="O31" i="126" s="1"/>
  <c r="M31" i="132" a="1"/>
  <c r="M31" i="132" s="1"/>
  <c r="P31" i="132" a="1"/>
  <c r="P31" i="132" s="1"/>
  <c r="T30" i="134"/>
  <c r="O31" i="128" a="1"/>
  <c r="O31" i="128" s="1"/>
  <c r="M31" i="126" a="1"/>
  <c r="M31" i="126" s="1"/>
  <c r="P31" i="124" a="1"/>
  <c r="P31" i="124" s="1"/>
  <c r="P31" i="128" a="1"/>
  <c r="P31" i="128" s="1"/>
  <c r="O31" i="130" a="1"/>
  <c r="O31" i="130" s="1"/>
  <c r="P31" i="130" a="1"/>
  <c r="P31" i="130" s="1"/>
  <c r="O30" i="111" a="1"/>
  <c r="O30" i="111" s="1"/>
  <c r="T30" i="124"/>
  <c r="T29" i="127"/>
  <c r="T30" i="131"/>
  <c r="M31" i="134" a="1"/>
  <c r="M31" i="134" s="1"/>
  <c r="N31" i="132" a="1"/>
  <c r="N31" i="132" s="1"/>
  <c r="O31" i="134" a="1"/>
  <c r="O31" i="134" s="1"/>
  <c r="P31" i="134" a="1"/>
  <c r="P31" i="134" s="1"/>
  <c r="L32" i="129"/>
  <c r="O32" i="129" s="1" a="1"/>
  <c r="O32" i="129" s="1"/>
  <c r="L32" i="133"/>
  <c r="N32" i="133" s="1" a="1"/>
  <c r="N32" i="133" s="1"/>
  <c r="L32" i="131"/>
  <c r="M32" i="131" s="1" a="1"/>
  <c r="M32" i="131" s="1"/>
  <c r="M30" i="111" a="1"/>
  <c r="M30" i="111" s="1"/>
  <c r="M31" i="124" a="1"/>
  <c r="M31" i="124" s="1"/>
  <c r="N31" i="124" a="1"/>
  <c r="N31" i="124" s="1"/>
  <c r="T31" i="127"/>
  <c r="T30" i="132"/>
  <c r="T30" i="125"/>
  <c r="T30" i="128"/>
  <c r="T32" i="128"/>
  <c r="T30" i="133"/>
  <c r="T30" i="130"/>
  <c r="T30" i="129"/>
  <c r="T31" i="129"/>
  <c r="P32" i="126" a="1"/>
  <c r="P32" i="126" s="1"/>
  <c r="O32" i="126" a="1"/>
  <c r="O32" i="126" s="1"/>
  <c r="N32" i="126" a="1"/>
  <c r="N32" i="126" s="1"/>
  <c r="M32" i="126" a="1"/>
  <c r="M32" i="126" s="1"/>
  <c r="N32" i="135" a="1"/>
  <c r="N32" i="135" s="1"/>
  <c r="M32" i="135" a="1"/>
  <c r="M32" i="135" s="1"/>
  <c r="P32" i="135" a="1"/>
  <c r="P32" i="135" s="1"/>
  <c r="O32" i="135" a="1"/>
  <c r="O32" i="135" s="1"/>
  <c r="O32" i="130" a="1"/>
  <c r="O32" i="130" s="1"/>
  <c r="N32" i="130" a="1"/>
  <c r="N32" i="130" s="1"/>
  <c r="M32" i="130" a="1"/>
  <c r="M32" i="130" s="1"/>
  <c r="P32" i="130" a="1"/>
  <c r="P32" i="130" s="1"/>
  <c r="N32" i="125" a="1"/>
  <c r="N32" i="125" s="1"/>
  <c r="M32" i="125" a="1"/>
  <c r="M32" i="125" s="1"/>
  <c r="P32" i="125" a="1"/>
  <c r="P32" i="125" s="1"/>
  <c r="O32" i="125" a="1"/>
  <c r="O32" i="125" s="1"/>
  <c r="N32" i="132" a="1"/>
  <c r="N32" i="132" s="1"/>
  <c r="P32" i="132" a="1"/>
  <c r="P32" i="132" s="1"/>
  <c r="M32" i="132" a="1"/>
  <c r="M32" i="132" s="1"/>
  <c r="O32" i="132" a="1"/>
  <c r="O32" i="132" s="1"/>
  <c r="O32" i="128" a="1"/>
  <c r="O32" i="128" s="1"/>
  <c r="P32" i="128" a="1"/>
  <c r="P32" i="128" s="1"/>
  <c r="N32" i="128" a="1"/>
  <c r="N32" i="128" s="1"/>
  <c r="M32" i="128" a="1"/>
  <c r="M32" i="128" s="1"/>
  <c r="N32" i="127" a="1"/>
  <c r="N32" i="127" s="1"/>
  <c r="M32" i="127" a="1"/>
  <c r="M32" i="127" s="1"/>
  <c r="P32" i="127" a="1"/>
  <c r="P32" i="127" s="1"/>
  <c r="O32" i="127" a="1"/>
  <c r="O32" i="127" s="1"/>
  <c r="M32" i="124" a="1"/>
  <c r="M32" i="124" s="1"/>
  <c r="P32" i="124" a="1"/>
  <c r="P32" i="124" s="1"/>
  <c r="O32" i="124" a="1"/>
  <c r="O32" i="124" s="1"/>
  <c r="N32" i="124" a="1"/>
  <c r="N32" i="124" s="1"/>
  <c r="L32" i="111" a="1"/>
  <c r="P33" i="126" a="1"/>
  <c r="T31" i="135" a="1"/>
  <c r="T31" i="124" a="1"/>
  <c r="P33" i="130" a="1"/>
  <c r="P33" i="127" a="1"/>
  <c r="T31" i="130" a="1"/>
  <c r="P33" i="124" a="1"/>
  <c r="P33" i="135" a="1"/>
  <c r="P33" i="125" a="1"/>
  <c r="P33" i="128" a="1"/>
  <c r="T31" i="125" a="1"/>
  <c r="T31" i="126" a="1"/>
  <c r="T31" i="128" a="1"/>
  <c r="T31" i="133" a="1"/>
  <c r="T31" i="134" a="1"/>
  <c r="T31" i="132" a="1"/>
  <c r="M32" i="134" l="1" a="1"/>
  <c r="M32" i="134" s="1"/>
  <c r="O32" i="134" a="1"/>
  <c r="O32" i="134" s="1"/>
  <c r="P32" i="134" a="1"/>
  <c r="P32" i="134" s="1"/>
  <c r="M31" i="111" a="1"/>
  <c r="M31" i="111" s="1"/>
  <c r="M32" i="129" a="1"/>
  <c r="M32" i="129" s="1"/>
  <c r="P31" i="111" a="1"/>
  <c r="P31" i="111" s="1"/>
  <c r="O31" i="111" a="1"/>
  <c r="O31" i="111" s="1"/>
  <c r="O32" i="131" a="1"/>
  <c r="O32" i="131" s="1"/>
  <c r="P32" i="129" a="1"/>
  <c r="P32" i="129" s="1"/>
  <c r="T31" i="134"/>
  <c r="T31" i="128"/>
  <c r="N32" i="129" a="1"/>
  <c r="N32" i="129" s="1"/>
  <c r="O32" i="133" a="1"/>
  <c r="O32" i="133" s="1"/>
  <c r="P32" i="133" a="1"/>
  <c r="P32" i="133" s="1"/>
  <c r="N32" i="131" a="1"/>
  <c r="N32" i="131" s="1"/>
  <c r="P32" i="131" a="1"/>
  <c r="P32" i="131" s="1"/>
  <c r="M32" i="133" a="1"/>
  <c r="M32" i="133" s="1"/>
  <c r="T31" i="135"/>
  <c r="T31" i="124"/>
  <c r="T31" i="130"/>
  <c r="L32" i="111"/>
  <c r="P32" i="111" s="1" a="1"/>
  <c r="P32" i="111" s="1"/>
  <c r="T31" i="125"/>
  <c r="T31" i="126"/>
  <c r="T31" i="132"/>
  <c r="T31" i="133"/>
  <c r="P33" i="126"/>
  <c r="P33" i="135"/>
  <c r="P33" i="125"/>
  <c r="P33" i="128"/>
  <c r="P33" i="124"/>
  <c r="P33" i="130"/>
  <c r="P33" i="127"/>
  <c r="L20" i="56"/>
  <c r="O20" i="56" s="1"/>
  <c r="T32" i="125" a="1"/>
  <c r="P33" i="134" a="1"/>
  <c r="T32" i="130" a="1"/>
  <c r="T33" i="128" a="1"/>
  <c r="P33" i="133" a="1"/>
  <c r="T32" i="124" a="1"/>
  <c r="T32" i="126" a="1"/>
  <c r="P33" i="131" a="1"/>
  <c r="T32" i="132" a="1"/>
  <c r="P33" i="132" a="1"/>
  <c r="T32" i="135" a="1"/>
  <c r="T32" i="131" a="1"/>
  <c r="P33" i="129" a="1"/>
  <c r="T32" i="129" a="1"/>
  <c r="T32" i="127" a="1"/>
  <c r="T32" i="134" a="1"/>
  <c r="P33" i="111" a="1"/>
  <c r="P33" i="134" l="1"/>
  <c r="T32" i="130"/>
  <c r="P33" i="132"/>
  <c r="P33" i="129"/>
  <c r="T32" i="126"/>
  <c r="P33" i="133"/>
  <c r="T32" i="129"/>
  <c r="T32" i="124"/>
  <c r="T33" i="128"/>
  <c r="P33" i="131"/>
  <c r="N32" i="111" a="1"/>
  <c r="N32" i="111" s="1"/>
  <c r="P33" i="111"/>
  <c r="O32" i="111" a="1"/>
  <c r="O32" i="111" s="1"/>
  <c r="M32" i="111" a="1"/>
  <c r="M32" i="111" s="1"/>
  <c r="T32" i="134"/>
  <c r="T32" i="135"/>
  <c r="T32" i="127"/>
  <c r="T32" i="125"/>
  <c r="T32" i="131"/>
  <c r="T32" i="132"/>
  <c r="T20" i="56"/>
  <c r="T51" i="56" s="1"/>
  <c r="N20" i="56"/>
  <c r="P20" i="56"/>
  <c r="P51" i="56" s="1"/>
  <c r="M20" i="56"/>
  <c r="T33" i="129" a="1"/>
  <c r="T33" i="130" a="1"/>
  <c r="T32" i="133" a="1"/>
  <c r="T33" i="126" a="1"/>
  <c r="T33" i="134" a="1"/>
  <c r="T33" i="132" a="1"/>
  <c r="T33" i="127" a="1"/>
  <c r="S40" i="111" a="1"/>
  <c r="T33" i="124" a="1"/>
  <c r="T33" i="125" a="1"/>
  <c r="T33" i="135" a="1"/>
  <c r="T33" i="131" a="1"/>
  <c r="S40" i="128" a="1"/>
  <c r="T33" i="130" l="1"/>
  <c r="T32" i="133"/>
  <c r="T33" i="126"/>
  <c r="T33" i="124"/>
  <c r="S40" i="128"/>
  <c r="T33" i="129"/>
  <c r="S40" i="111"/>
  <c r="T33" i="127"/>
  <c r="T33" i="132"/>
  <c r="T33" i="135"/>
  <c r="T33" i="134"/>
  <c r="T33" i="131"/>
  <c r="T33" i="125"/>
  <c r="S58" i="56"/>
  <c r="S40" i="130" a="1"/>
  <c r="T33" i="133" a="1"/>
  <c r="S40" i="134" a="1"/>
  <c r="S40" i="135" a="1"/>
  <c r="S40" i="129" a="1"/>
  <c r="S40" i="125" a="1"/>
  <c r="S40" i="132" a="1"/>
  <c r="S40" i="126" a="1"/>
  <c r="S40" i="124" a="1"/>
  <c r="S40" i="131" a="1"/>
  <c r="S40" i="127" a="1"/>
  <c r="S40" i="130" l="1"/>
  <c r="T33" i="133"/>
  <c r="S40" i="126"/>
  <c r="S40" i="129"/>
  <c r="S40" i="124"/>
  <c r="S40" i="127"/>
  <c r="S40" i="125"/>
  <c r="S40" i="135"/>
  <c r="S40" i="132"/>
  <c r="S40" i="131"/>
  <c r="S40" i="134"/>
  <c r="S40" i="133" a="1"/>
  <c r="S40" i="1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Leone Andrade Campos</author>
  </authors>
  <commentList>
    <comment ref="I30" authorId="0" shapeId="0" xr:uid="{07D9F649-73F2-4413-957F-27F75092B52C}">
      <text>
        <r>
          <rPr>
            <b/>
            <sz val="9"/>
            <color indexed="81"/>
            <rFont val="Segoe UI"/>
            <family val="2"/>
          </rPr>
          <t>Para os próximos anos, você pode anexar o .pdf do calendário da ETN no ChatGPT e pedir para ele gerar uma tabela pra você copiar para o Excel com o prompt abaixo.
Você pode tentar da sua maneira, mas este prompt sugerido me levou a ótimos resultados com o ChatGPT 4.0.
Para copiar o texto do prompt, edite essa Anotação ou clique com o botão direito na célula e depois em Mostrar/Ocultar Anotação
[Curiosidade: o prompt foi gerado com DeepSeek-V3 hahaha]
ATENÇÃO: Ele pode deixar passar alguns dias especiais, então é importante que você confira o resultado que ele te entregar. Você pode preencher manualmente o que faltar ou pode tentar continuar conversando com ele e apontando exatamente as datas que ele deixou de fora para tentar conseguir uma tabela completa para colar no Calendário.
============================
PROMPT (copie e cole no ChatGPT):
Você é um assistente especializado em análise de calendários. Sua tarefa é listar todos os dias especiais (Feriados Municipais, Feriados Estaduais, Feriados Nacionais, Dias Dispensados, Dias Parcialmente Compensados e Dispensados, Dias Normais) de um calendário fornecido, seguindo as seguintes regras:
Ordem Cronológica: Os dias devem ser listados em ordem cronológica, com base na data correta (dia/mês/ano).
Descrição Completa: Use a descrição completa fornecida no calendário, incluindo detalhes como "1° Expediente: Dispensado / 2° Expediente: Compensado".
Formato de Tabela: A data e a descrição devem ser colocadas em colunas separadas, prontas para serem copiadas e coladas no Excel.
Verificação de Posição do Dia: Certifique-se de que o dia do mês está corretamente alinhado com o mês e o ano. Por exemplo, se o dia 3 de janeiro é mencionado, ele deve ser listado como "03/01/2025" e não "03/01/2025" se o ano for diferente.
Inclusão de Todos os Dias Especiais: Inclua todos os dias que possuem alguma descrição, mesmo que seja apenas "Dia Normal".
Referência Visual: Utilize as cores ou formatações diferentes no calendário para identificar dias especiais, garantindo que nenhum dia seja omitido.
Confirmação de Feriados e Dias Especiais: Verifique se os feriados e dias especiais estão corretamente associados às datas fornecidas no calendário, evitando erros de posicionamento.
Exemplo de Saída Esperada:
Data Descrição
01/01/2025 Confraternização Universal - Feriado Nacional
06/01/2025 Dia de Reis - Feriado Municipal
03/03/2025 Carnaval - Dispensado
04/03/2025 Carnaval - Feriado Estadual
05/03/2025 Cinzas 1° Expediente: Dispensado / 2° Expediente: Compensado
... ...
Observações:
Certifique-se de que a data está no formato correto (dia/mês/ano).
Verifique se a descrição está completa e alinhada com o que está no calendário.
Se houver dúvidas sobre a posição de um dia, consulte o layout visual do calendário para confirmar.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<sst xmlns="http://schemas.openxmlformats.org/spreadsheetml/2006/main" count="721" uniqueCount="178">
  <si>
    <t>Data</t>
  </si>
  <si>
    <t>Entrada</t>
  </si>
  <si>
    <t>Retorno Almoço</t>
  </si>
  <si>
    <t>Saída</t>
  </si>
  <si>
    <t>Variações  Horas de Entrada</t>
  </si>
  <si>
    <t>Variações  Horas de Saída</t>
  </si>
  <si>
    <t>Ausência para Comp. no mês</t>
  </si>
  <si>
    <t>Horas Compens.       no mês</t>
  </si>
  <si>
    <t>PGHE</t>
  </si>
  <si>
    <t>Hora</t>
  </si>
  <si>
    <t xml:space="preserve">ABNO </t>
  </si>
  <si>
    <t>Crédito Hs mês Angra</t>
  </si>
  <si>
    <t>Crédito Banco de Feriado Angra</t>
  </si>
  <si>
    <t>INTE</t>
  </si>
  <si>
    <t>Interjornada</t>
  </si>
  <si>
    <t>JIN*</t>
  </si>
  <si>
    <t>Pagamento de Hora Extra</t>
  </si>
  <si>
    <t>SEXT</t>
  </si>
  <si>
    <t>Saída Almoço</t>
  </si>
  <si>
    <t>COMPENSADO</t>
  </si>
  <si>
    <t>DIA</t>
  </si>
  <si>
    <t>TIPO</t>
  </si>
  <si>
    <t>FERIADO</t>
  </si>
  <si>
    <t>DISPENSADO</t>
  </si>
  <si>
    <t>1/2 COMPENSADO</t>
  </si>
  <si>
    <t>CRE2 =</t>
  </si>
  <si>
    <t>Quantidade de horas para compensar no banco de feriados (anual)</t>
  </si>
  <si>
    <t>COR</t>
  </si>
  <si>
    <t>Ano</t>
  </si>
  <si>
    <t>Tipo de dia</t>
  </si>
  <si>
    <t>Tipo de Ponto</t>
  </si>
  <si>
    <t>Comercial</t>
  </si>
  <si>
    <t>EXPEDIENTE CORRIDO</t>
  </si>
  <si>
    <t>Entrada tratada</t>
  </si>
  <si>
    <t>Saída tratada</t>
  </si>
  <si>
    <t>Saída Almoço tratada</t>
  </si>
  <si>
    <t>Retorno Almoço tratado</t>
  </si>
  <si>
    <t>DESCRIÇÃO</t>
  </si>
  <si>
    <t>Calendário</t>
  </si>
  <si>
    <t>CRE2</t>
  </si>
  <si>
    <t>NAUT</t>
  </si>
  <si>
    <t>Variações Horas de Almoço</t>
  </si>
  <si>
    <t>TELE</t>
  </si>
  <si>
    <t>TEXT</t>
  </si>
  <si>
    <t>Teletrabalho</t>
  </si>
  <si>
    <t>Dados</t>
  </si>
  <si>
    <t>U.O.</t>
  </si>
  <si>
    <t>Funcionário</t>
  </si>
  <si>
    <t>Gerente</t>
  </si>
  <si>
    <t>Matrícula</t>
  </si>
  <si>
    <t>(Nome)</t>
  </si>
  <si>
    <t>(Nome gerente)</t>
  </si>
  <si>
    <t>(Departamento)</t>
  </si>
  <si>
    <t>(Nº Matrícula)</t>
  </si>
  <si>
    <r>
      <rPr>
        <b/>
        <sz val="14"/>
        <color theme="1"/>
        <rFont val="Calibri"/>
        <family val="2"/>
        <scheme val="minor"/>
      </rPr>
      <t>AUS*</t>
    </r>
    <r>
      <rPr>
        <sz val="14"/>
        <color theme="1"/>
        <rFont val="Calibri"/>
        <family val="2"/>
        <scheme val="minor"/>
      </rPr>
      <t xml:space="preserve">  </t>
    </r>
  </si>
  <si>
    <r>
      <rPr>
        <b/>
        <sz val="14"/>
        <color theme="1"/>
        <rFont val="Calibri"/>
        <family val="2"/>
        <scheme val="minor"/>
      </rPr>
      <t>CPHM</t>
    </r>
    <r>
      <rPr>
        <sz val="14"/>
        <color theme="1"/>
        <rFont val="Calibri"/>
        <family val="2"/>
        <scheme val="minor"/>
      </rPr>
      <t xml:space="preserve"> </t>
    </r>
  </si>
  <si>
    <r>
      <rPr>
        <b/>
        <sz val="14"/>
        <color theme="1"/>
        <rFont val="Calibri"/>
        <family val="2"/>
        <scheme val="minor"/>
      </rPr>
      <t>CRE1</t>
    </r>
    <r>
      <rPr>
        <sz val="14"/>
        <color theme="1"/>
        <rFont val="Calibri"/>
        <family val="2"/>
        <scheme val="minor"/>
      </rPr>
      <t xml:space="preserve"> </t>
    </r>
  </si>
  <si>
    <t>Compensado Hs mês Angra</t>
  </si>
  <si>
    <t>Código</t>
  </si>
  <si>
    <t>Descrição</t>
  </si>
  <si>
    <t>Preencher a tabela com os dados do calendário
é essencial para o funcionamento da planilha.
Procure fazer isso antes de usar a planilha.</t>
  </si>
  <si>
    <t>Insira seus dados nas caixas laranjas.
O campo "Tipo de Ponto" é essencial
e altera o comportamento da planilha.</t>
  </si>
  <si>
    <t>Legendas</t>
  </si>
  <si>
    <t>Códigos do SAP e
cores dos dias especiais.</t>
  </si>
  <si>
    <t>Instruções</t>
  </si>
  <si>
    <t>Créditos</t>
  </si>
  <si>
    <t>Contato</t>
  </si>
  <si>
    <t>leoneac@eletronuclear.gov.br</t>
  </si>
  <si>
    <t>Leone Andrade Campos</t>
  </si>
  <si>
    <t>Se encontrar algum
problema, por favor, avise.</t>
  </si>
  <si>
    <t>Lance todos os pontos (entrada, almoço e saída) exatamente como estão no SAP.</t>
  </si>
  <si>
    <t>Preencha apenas células que estão em branco.</t>
  </si>
  <si>
    <t>As células em cinza são preenchidas automaticamente pela própria planilha.</t>
  </si>
  <si>
    <t>Em dias de expediente corrido, lance apenas os horários de entrada e saída e deixe os horários de almoço vazios.</t>
  </si>
  <si>
    <t xml:space="preserve">Abono gerencial </t>
  </si>
  <si>
    <t>Jornada incompleta não abonada</t>
  </si>
  <si>
    <t xml:space="preserve">Permanência não autorizada </t>
  </si>
  <si>
    <t>Serviço externo</t>
  </si>
  <si>
    <t>Treinamento externo</t>
  </si>
  <si>
    <t>Ausência não abonada</t>
  </si>
  <si>
    <t>Não se esqueça de conferir o Tipo de Ponto escolhido na área Dados (acima).</t>
  </si>
  <si>
    <t>O ambiente de dia expediente corrido, quando são feitas horas extras, é complicado e pouco conhecido na prática, por isso é aconselhável conferir se as deduções feitas pela planilha nesse dia estão de acordo com o SAP.</t>
  </si>
  <si>
    <r>
      <t xml:space="preserve">A planilha é protegida para evitar desconfigurações acidentais, porém não possui senha. Se precisar corrigir algo ou fazer alguma operação manual por qualquer motivo, basta desproteger em </t>
    </r>
    <r>
      <rPr>
        <b/>
        <sz val="14"/>
        <color theme="4" tint="-0.499984740745262"/>
        <rFont val="Courier New"/>
        <family val="3"/>
      </rPr>
      <t>Revisão &gt; Desproteger Planilha</t>
    </r>
    <r>
      <rPr>
        <b/>
        <sz val="14"/>
        <color theme="4" tint="-0.499984740745262"/>
        <rFont val="Calibri"/>
        <family val="2"/>
        <scheme val="minor"/>
      </rPr>
      <t xml:space="preserve"> para editar células bloqueadas.</t>
    </r>
  </si>
  <si>
    <t>Horários</t>
  </si>
  <si>
    <r>
      <t xml:space="preserve">AUS* ou  JIN*
</t>
    </r>
    <r>
      <rPr>
        <b/>
        <sz val="12"/>
        <color theme="7" tint="-0.499984740745262"/>
        <rFont val="Calibri"/>
        <family val="2"/>
        <scheme val="minor"/>
      </rPr>
      <t>Descontos</t>
    </r>
  </si>
  <si>
    <r>
      <t xml:space="preserve">NAUT
</t>
    </r>
    <r>
      <rPr>
        <b/>
        <sz val="12"/>
        <color theme="4" tint="-0.499984740745262"/>
        <rFont val="Calibri"/>
        <family val="2"/>
        <scheme val="minor"/>
      </rPr>
      <t>Presença Não Perm.</t>
    </r>
  </si>
  <si>
    <r>
      <t xml:space="preserve">PGHE
</t>
    </r>
    <r>
      <rPr>
        <b/>
        <sz val="12"/>
        <color theme="4" tint="-0.499984740745262"/>
        <rFont val="Calibri"/>
        <family val="2"/>
        <scheme val="minor"/>
      </rPr>
      <t>Horas Extras</t>
    </r>
  </si>
  <si>
    <r>
      <t xml:space="preserve">CRE2
</t>
    </r>
    <r>
      <rPr>
        <b/>
        <sz val="12"/>
        <color theme="4" tint="-0.499984740745262"/>
        <rFont val="Calibri"/>
        <family val="2"/>
        <scheme val="minor"/>
      </rPr>
      <t>Banco de Feriados</t>
    </r>
  </si>
  <si>
    <r>
      <t xml:space="preserve">CRE1
</t>
    </r>
    <r>
      <rPr>
        <b/>
        <sz val="12"/>
        <color theme="4" tint="-0.499984740745262"/>
        <rFont val="Calibri"/>
        <family val="2"/>
        <scheme val="minor"/>
      </rPr>
      <t>Compens.
no mês</t>
    </r>
  </si>
  <si>
    <t>seg a sex</t>
  </si>
  <si>
    <t>7:30 a 12:00 e 13:30 a 17:00</t>
  </si>
  <si>
    <t>Planilha baseada na planilha do DME.N, esta originalmente feita pelo Carlos Leonardo da Silva Xavier (lxavier).</t>
  </si>
  <si>
    <t>Construção</t>
  </si>
  <si>
    <t>7:30 a 11:45 e 13:45 a 17:30</t>
  </si>
  <si>
    <t>7:00 a 11:45 e 13:15 a 16:30</t>
  </si>
  <si>
    <t>seg a qui</t>
  </si>
  <si>
    <t>sexta</t>
  </si>
  <si>
    <r>
      <t xml:space="preserve">CPHM
</t>
    </r>
    <r>
      <rPr>
        <b/>
        <sz val="12"/>
        <color theme="7" tint="-0.499984740745262"/>
        <rFont val="Calibri"/>
        <family val="2"/>
        <scheme val="minor"/>
      </rPr>
      <t xml:space="preserve"> Atraso Compens.</t>
    </r>
  </si>
  <si>
    <t>DIA ÚTIL</t>
  </si>
  <si>
    <t>FIM DE SEMANA</t>
  </si>
  <si>
    <t>Marcação Manual - Justificativas</t>
  </si>
  <si>
    <t>Exemplo de feriado</t>
  </si>
  <si>
    <t>Exemplo de dia dispensado</t>
  </si>
  <si>
    <t>Exemplo de compensação total com banco de horas de feriado</t>
  </si>
  <si>
    <t>Exemplo de fim de semana</t>
  </si>
  <si>
    <t>Totais</t>
  </si>
  <si>
    <t>Horas
Trabalhadas</t>
  </si>
  <si>
    <t>Exemplo de dia meio compensado, meio dispensado</t>
  </si>
  <si>
    <t>CRE1 - CPHM</t>
  </si>
  <si>
    <t>Exemplo de expediente corrido normal (COMERCIAL)</t>
  </si>
  <si>
    <t>Exemplo de dia útil comum (COMERCIAL)</t>
  </si>
  <si>
    <t>Exemplo de dia com compensações não tratadas</t>
  </si>
  <si>
    <t>Exemplo de dia com compensações tratadas</t>
  </si>
  <si>
    <t>Exemplo de erro no lançamento de almoço no fim de semana</t>
  </si>
  <si>
    <t>Exemplo de tratamento incorreto</t>
  </si>
  <si>
    <t>Exemplo de arredondamento no lançamento de horas</t>
  </si>
  <si>
    <t>Exemplo de marcação manual</t>
  </si>
  <si>
    <t>Observações</t>
  </si>
  <si>
    <t>A curva de aprendizado desta planilha
é um pouco lenta no início, sugiro
se basear na planilha "EXEMPLO".</t>
  </si>
  <si>
    <t>Exemplo de lançamento de compensação para um dia inteiro</t>
  </si>
  <si>
    <t>Saldo do Banco de Horas Mensal</t>
  </si>
  <si>
    <t>mês anterior</t>
  </si>
  <si>
    <t>(falta ser compensado)</t>
  </si>
  <si>
    <t>Saldo do Banco de Feriado</t>
  </si>
  <si>
    <t>Confraternização Universal - Feriado Nacional</t>
  </si>
  <si>
    <t>DEE.N</t>
  </si>
  <si>
    <t>FÉRIAS</t>
  </si>
  <si>
    <t>Exemplo de férias</t>
  </si>
  <si>
    <t>Exemplo de marcação de ponto nas férias</t>
  </si>
  <si>
    <t>Novo ano</t>
  </si>
  <si>
    <r>
      <t xml:space="preserve">Horas
</t>
    </r>
    <r>
      <rPr>
        <b/>
        <sz val="11.9"/>
        <rFont val="Calibri"/>
        <family val="2"/>
        <scheme val="minor"/>
      </rPr>
      <t>Trabalhadas</t>
    </r>
  </si>
  <si>
    <t>Não é necessário fazer arredondamentos, pois a planilha corrige os valores para você. Quando você não bate ponto no almoço, pode deixar a entrada e a saída vazias.</t>
  </si>
  <si>
    <t>Dias de expedientes corridos e de férias não são conhecidos no início do ano, então é necessário adicioná-los no fim do Calendário (tabela ao lado) quando aparecerem.</t>
  </si>
  <si>
    <t>Não é necessário que os dias lançados no Calendário estejam em ordem cronológica, você pode adicioná-los ao fim do Calendário sem problemas.</t>
  </si>
  <si>
    <t>As horas de CRE2 são calculadas com base nos dias totalmente/parcialmente compensados (tipos 'COMPENSADO' e '1/2 COMPENSADO'), se você quiser que algum dia não seja contabilizado, basta removê-lo do calendário.</t>
  </si>
  <si>
    <r>
      <rPr>
        <b/>
        <u/>
        <sz val="14"/>
        <color theme="4" tint="-0.499984740745262"/>
        <rFont val="Calibri"/>
        <family val="2"/>
        <scheme val="minor"/>
      </rPr>
      <t>Não</t>
    </r>
    <r>
      <rPr>
        <b/>
        <sz val="14"/>
        <color theme="4" tint="-0.499984740745262"/>
        <rFont val="Calibri"/>
        <family val="2"/>
        <scheme val="minor"/>
      </rPr>
      <t xml:space="preserve"> lance um dia que você compensou com CRE1 no Calendário ao lado!</t>
    </r>
  </si>
  <si>
    <t>A proposta do Calendário ao lado é que você o preencha no começo do ano com o calendário fornecido pela ETN e depois não precise mexer mais (a não ser para lançar dias de férias e expediente corrido). Adicionar um dia como 'COMPENSADO' o inclui no Banco de Horas de CRE2 e atrapalhará seu saldo total. Se você quiser compensar um dia inteiro com CRE1, a planilha "EXEMPLO" mostra como fazê-lo na linha 18.</t>
  </si>
  <si>
    <t>Exemplo de preenchimento incompleto</t>
  </si>
  <si>
    <t>Dia</t>
  </si>
  <si>
    <t>Saldo total de horas livres no mês</t>
  </si>
  <si>
    <r>
      <t xml:space="preserve">ABNO ou ENF1
</t>
    </r>
    <r>
      <rPr>
        <b/>
        <sz val="12"/>
        <color theme="7" tint="-0.499984740745262"/>
        <rFont val="Calibri"/>
        <family val="2"/>
        <scheme val="minor"/>
      </rPr>
      <t xml:space="preserve">Abonos </t>
    </r>
  </si>
  <si>
    <r>
      <t xml:space="preserve">ABNO ou ENF1
</t>
    </r>
    <r>
      <rPr>
        <b/>
        <sz val="12"/>
        <color theme="7" tint="-0.499984740745262"/>
        <rFont val="Calibri"/>
        <family val="2"/>
        <scheme val="minor"/>
      </rPr>
      <t>Descontos</t>
    </r>
  </si>
  <si>
    <t>A versão 'Sem Macro' foi descontinuada</t>
  </si>
  <si>
    <r>
      <t xml:space="preserve">Se você quiser um arquivo sem macros, basta salvar este aqui como </t>
    </r>
    <r>
      <rPr>
        <sz val="12"/>
        <color theme="4" tint="-0.499984740745262"/>
        <rFont val="Courier New"/>
        <family val="3"/>
      </rPr>
      <t>.xlsx</t>
    </r>
    <r>
      <rPr>
        <sz val="12"/>
        <color theme="4" tint="-0.499984740745262"/>
        <rFont val="Calibri"/>
        <family val="2"/>
        <scheme val="minor"/>
      </rPr>
      <t xml:space="preserve"> que as macros são automaticamente perdidas.</t>
    </r>
  </si>
  <si>
    <t>Farei o possível para corrigir os bugs encontrados e atender aos pedidos de novos recursos, mas infelizmente não consigo garantir que será rápido ou que serão sequer atendidos (darei preferência aos bugs).</t>
  </si>
  <si>
    <t>Versão</t>
  </si>
  <si>
    <t>Novas versões serão
colocadas neste link</t>
  </si>
  <si>
    <t>Licença:</t>
  </si>
  <si>
    <t>Pasta OneDrive: Versões das planilhas</t>
  </si>
  <si>
    <t>Exemplo de bypass do tratamento (alteração manual da cél. H18)</t>
  </si>
  <si>
    <t>Escolha o TIPO no Calendário ao lado dentre as opções disponíveis e de acordo com o calendário fornecido pela ETN.</t>
  </si>
  <si>
    <t>DICA: Você pode usar ChatGPT para criar o Calendário. (Clique aqui e veja anotação)</t>
  </si>
  <si>
    <t>ENF1</t>
  </si>
  <si>
    <t>Abono por Licença Médica</t>
  </si>
  <si>
    <t>Use o botão "Novo Controle de Horas" ao lado
para limpar os dados dos meses e do calendário e
iniciar um novo controle limpo para o próximo ano.</t>
  </si>
  <si>
    <t>Exemplo de divergência esperada de valores com o SAP</t>
  </si>
  <si>
    <t>Dia de Reis - Feriado Municipal</t>
  </si>
  <si>
    <t>Carnaval - Dispensado</t>
  </si>
  <si>
    <t>Carnaval - Feriado Estadual</t>
  </si>
  <si>
    <t>Cinzas 1° Expediente - Dispensado / 2° Expediente - Compensado</t>
  </si>
  <si>
    <t>Sexta-feira da Paixão - Feriado Municipal</t>
  </si>
  <si>
    <t>Dia de Tiradentes - Feriado Nacional</t>
  </si>
  <si>
    <t>Dia Compensado Facultativo (Dia Normal)</t>
  </si>
  <si>
    <t>Dia de São Jorge - Feriado Estadual</t>
  </si>
  <si>
    <t>Dia do Trabalho - Feriado Nacional</t>
  </si>
  <si>
    <t>Dia de Corpus Christi - Feriado Municipal</t>
  </si>
  <si>
    <t>Independência do Brasil - Feriado Nacional</t>
  </si>
  <si>
    <t>Nossa Senhora Aparecida - Feriado Nacional</t>
  </si>
  <si>
    <t>Finados - Feriado Nacional</t>
  </si>
  <si>
    <t>Proclamação da República - Feriado Nacional</t>
  </si>
  <si>
    <t>Dia Nacional da Consciência Negra - Feriado Nacional</t>
  </si>
  <si>
    <t>Imaculada Conceição - Feriado Municipal</t>
  </si>
  <si>
    <t>1° Expediente - Dispensado / 2° Expediente - Compensado</t>
  </si>
  <si>
    <t>Natal - Feriado Nacional</t>
  </si>
  <si>
    <t>https://github.com/LeoneAC/controle-ponto-ETN.git</t>
  </si>
  <si>
    <t>CC BY-NC-AS 4.0</t>
  </si>
  <si>
    <t>v1.2.0-excel</t>
  </si>
  <si>
    <t>Véspera de Carnaval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</si>
</sst>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h:mm;@"/>
    <numFmt numFmtId="165" formatCode="dd/mm/yy;@"/>
    <numFmt numFmtId="166" formatCode="[$-F400]h:mm:ss\ AM/PM"/>
    <numFmt numFmtId="167" formatCode="[h]:mm:ss;@"/>
    <numFmt numFmtId="168" formatCode="[h]:\ mm;\ @"/>
    <numFmt numFmtId="169" formatCode="[h]:mm"/>
    <numFmt numFmtId="170" formatCode="hh\ :\ mm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 Light"/>
      <family val="2"/>
      <scheme val="major"/>
    </font>
    <font>
      <b/>
      <sz val="40"/>
      <color theme="0" tint="-0.499984740745262"/>
      <name val="Calibri"/>
      <family val="2"/>
      <scheme val="minor"/>
    </font>
    <font>
      <b/>
      <sz val="40"/>
      <color theme="7" tint="-0.249977111117893"/>
      <name val="Calibri"/>
      <family val="2"/>
      <scheme val="minor"/>
    </font>
    <font>
      <b/>
      <sz val="18"/>
      <name val="Calibri Light"/>
      <family val="2"/>
      <scheme val="major"/>
    </font>
    <font>
      <b/>
      <sz val="18"/>
      <color theme="0" tint="-0.499984740745262"/>
      <name val="Calibri"/>
      <family val="2"/>
      <scheme val="minor"/>
    </font>
    <font>
      <b/>
      <sz val="22"/>
      <color theme="7" tint="-0.249977111117893"/>
      <name val="Candara"/>
      <family val="2"/>
    </font>
    <font>
      <b/>
      <sz val="22"/>
      <color theme="0" tint="-0.499984740745262"/>
      <name val="Candara"/>
      <family val="2"/>
    </font>
    <font>
      <b/>
      <sz val="40"/>
      <color theme="4" tint="-0.499984740745262"/>
      <name val="Calibri"/>
      <family val="2"/>
      <scheme val="minor"/>
    </font>
    <font>
      <b/>
      <sz val="22"/>
      <color theme="4" tint="-0.499984740745262"/>
      <name val="Candara"/>
      <family val="2"/>
    </font>
    <font>
      <b/>
      <sz val="16"/>
      <color theme="0" tint="-0.499984740745262"/>
      <name val="Calibri Light"/>
      <family val="2"/>
      <scheme val="major"/>
    </font>
    <font>
      <sz val="14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4"/>
      <color theme="4" tint="-0.499984740745262"/>
      <name val="Courier New"/>
      <family val="3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color rgb="FF000000"/>
      <name val="Candara"/>
      <family val="2"/>
    </font>
    <font>
      <b/>
      <sz val="22"/>
      <color theme="9" tint="-0.499984740745262"/>
      <name val="Candara"/>
      <family val="2"/>
    </font>
    <font>
      <b/>
      <sz val="40"/>
      <color theme="9" tint="-0.499984740745262"/>
      <name val="Calibri"/>
      <family val="2"/>
      <scheme val="minor"/>
    </font>
    <font>
      <b/>
      <sz val="11.9"/>
      <name val="Calibri"/>
      <family val="2"/>
      <scheme val="minor"/>
    </font>
    <font>
      <b/>
      <u/>
      <sz val="14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4" tint="-0.499984740745262"/>
      <name val="Courier New"/>
      <family val="3"/>
    </font>
    <font>
      <b/>
      <u/>
      <sz val="14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78B6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81B2D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1CCF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7" tint="0.80001220740379042"/>
        </stop>
        <stop position="1">
          <color theme="7"/>
        </stop>
      </gradientFill>
    </fill>
    <fill>
      <gradientFill>
        <stop position="0">
          <color theme="0" tint="-5.0965910824915313E-2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25098422193060094"/>
        </stop>
      </gradientFill>
    </fill>
    <fill>
      <gradientFill>
        <stop position="0">
          <color theme="7" tint="0.59999389629810485"/>
        </stop>
        <stop position="1">
          <color theme="7"/>
        </stop>
      </gradientFill>
    </fill>
    <fill>
      <gradientFill>
        <stop position="0">
          <color theme="7" tint="0.80001220740379042"/>
        </stop>
        <stop position="1">
          <color theme="7" tint="0.59999389629810485"/>
        </stop>
      </gradientFill>
    </fill>
    <fill>
      <gradientFill>
        <stop position="0">
          <color theme="0" tint="-5.0965910824915313E-2"/>
        </stop>
        <stop position="1">
          <color theme="0" tint="-0.1490218817712943"/>
        </stop>
      </gradientFill>
    </fill>
    <fill>
      <gradientFill>
        <stop position="0">
          <color theme="0" tint="-0.1490218817712943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34900967436750391"/>
        </stop>
      </gradientFill>
    </fill>
    <fill>
      <gradientFill>
        <stop position="0">
          <color theme="0" tint="-5.0965910824915313E-2"/>
        </stop>
        <stop position="1">
          <color theme="0" tint="-0.34900967436750391"/>
        </stop>
      </gradientFill>
    </fill>
    <fill>
      <gradientFill degree="180">
        <stop position="0">
          <color theme="0" tint="-5.0965910824915313E-2"/>
        </stop>
        <stop position="1">
          <color rgb="FF00B050"/>
        </stop>
      </gradientFill>
    </fill>
    <fill>
      <gradientFill degree="180">
        <stop position="0">
          <color theme="0" tint="-5.0965910824915313E-2"/>
        </stop>
        <stop position="1">
          <color theme="4" tint="0.40000610370189521"/>
        </stop>
      </gradientFill>
    </fill>
    <fill>
      <gradientFill degree="180">
        <stop position="0">
          <color theme="0" tint="-5.0965910824915313E-2"/>
        </stop>
        <stop position="1">
          <color theme="4"/>
        </stop>
      </gradientFill>
    </fill>
    <fill>
      <gradientFill degree="180">
        <stop position="0">
          <color theme="0" tint="-5.0965910824915313E-2"/>
        </stop>
        <stop position="1">
          <color rgb="FFFF99FF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gradientFill>
        <stop position="0">
          <color theme="4" tint="0.59999389629810485"/>
        </stop>
        <stop position="1">
          <color theme="4" tint="0.40000610370189521"/>
        </stop>
      </gradientFill>
    </fill>
    <fill>
      <gradientFill>
        <stop position="0">
          <color theme="4" tint="0.80001220740379042"/>
        </stop>
        <stop position="1">
          <color theme="4" tint="0.59999389629810485"/>
        </stop>
      </gradientFill>
    </fill>
    <fill>
      <patternFill patternType="solid">
        <fgColor theme="0" tint="-4.9989318521683403E-2"/>
        <bgColor auto="1"/>
      </patternFill>
    </fill>
    <fill>
      <gradientFill>
        <stop position="0">
          <color theme="0" tint="-5.0965910824915313E-2"/>
        </stop>
        <stop position="0.5">
          <color theme="0" tint="-0.34900967436750391"/>
        </stop>
        <stop position="1">
          <color theme="0" tint="-5.0965910824915313E-2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180">
        <stop position="0">
          <color theme="0" tint="-5.0965910824915313E-2"/>
        </stop>
        <stop position="1">
          <color theme="9" tint="0.40000610370189521"/>
        </stop>
      </gradientFill>
    </fill>
    <fill>
      <gradientFill>
        <stop position="0">
          <color theme="9" tint="0.59999389629810485"/>
        </stop>
        <stop position="1">
          <color theme="9" tint="0.40000610370189521"/>
        </stop>
      </gradientFill>
    </fill>
    <fill>
      <gradientFill>
        <stop position="0">
          <color theme="9" tint="0.80001220740379042"/>
        </stop>
        <stop position="1">
          <color theme="9" tint="0.59999389629810485"/>
        </stop>
      </gradient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/>
      <top style="slantDashDot">
        <color theme="0" tint="-0.499984740745262"/>
      </top>
      <bottom/>
      <diagonal/>
    </border>
    <border>
      <left/>
      <right/>
      <top/>
      <bottom style="slantDashDot">
        <color theme="0" tint="-0.499984740745262"/>
      </bottom>
      <diagonal/>
    </border>
    <border>
      <left/>
      <right/>
      <top/>
      <bottom style="slantDashDot">
        <color theme="7" tint="-0.249977111117893"/>
      </bottom>
      <diagonal/>
    </border>
    <border>
      <left/>
      <right/>
      <top style="slantDashDot">
        <color theme="0" tint="-0.499984740745262"/>
      </top>
      <bottom style="thin">
        <color theme="0" tint="-4.9989318521683403E-2"/>
      </bottom>
      <diagonal/>
    </border>
    <border>
      <left/>
      <right/>
      <top/>
      <bottom style="slantDashDot">
        <color theme="4" tint="-0.499984740745262"/>
      </bottom>
      <diagonal/>
    </border>
    <border>
      <left/>
      <right/>
      <top style="slantDashDot">
        <color theme="7" tint="-0.24997711111789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slantDashDot">
        <color theme="9" tint="-0.499984740745262"/>
      </bottom>
      <diagonal/>
    </border>
    <border>
      <left/>
      <right/>
      <top style="slantDashDot">
        <color theme="9" tint="-0.49998474074526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326">
    <xf numFmtId="0" fontId="0" fillId="0" borderId="0" xfId="0"/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3" borderId="0" xfId="0" applyFont="1" applyFill="1"/>
    <xf numFmtId="0" fontId="7" fillId="0" borderId="0" xfId="0" applyFont="1"/>
    <xf numFmtId="0" fontId="7" fillId="0" borderId="0" xfId="0" applyFont="1" applyAlignment="1">
      <alignment horizontal="left"/>
    </xf>
    <xf numFmtId="49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/>
    </xf>
    <xf numFmtId="49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/>
    <xf numFmtId="0" fontId="9" fillId="3" borderId="0" xfId="0" applyFont="1" applyFill="1" applyAlignment="1">
      <alignment horizontal="right"/>
    </xf>
    <xf numFmtId="0" fontId="8" fillId="3" borderId="0" xfId="0" applyFont="1" applyFill="1" applyAlignment="1">
      <alignment horizontal="left"/>
    </xf>
    <xf numFmtId="0" fontId="8" fillId="3" borderId="0" xfId="0" applyFont="1" applyFill="1" applyAlignment="1">
      <alignment horizontal="center"/>
    </xf>
    <xf numFmtId="0" fontId="8" fillId="3" borderId="0" xfId="0" applyFont="1" applyFill="1"/>
    <xf numFmtId="0" fontId="11" fillId="3" borderId="0" xfId="0" applyFont="1" applyFill="1"/>
    <xf numFmtId="0" fontId="11" fillId="0" borderId="0" xfId="0" applyFont="1"/>
    <xf numFmtId="20" fontId="7" fillId="3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2" fillId="3" borderId="0" xfId="0" applyFont="1" applyFill="1"/>
    <xf numFmtId="0" fontId="12" fillId="9" borderId="6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165" fontId="12" fillId="9" borderId="7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69" fontId="12" fillId="9" borderId="22" xfId="0" quotePrefix="1" applyNumberFormat="1" applyFont="1" applyFill="1" applyBorder="1" applyAlignment="1">
      <alignment horizontal="center"/>
    </xf>
    <xf numFmtId="169" fontId="12" fillId="3" borderId="1" xfId="0" quotePrefix="1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 wrapText="1"/>
    </xf>
    <xf numFmtId="170" fontId="12" fillId="3" borderId="11" xfId="0" applyNumberFormat="1" applyFont="1" applyFill="1" applyBorder="1" applyAlignment="1">
      <alignment horizontal="center"/>
    </xf>
    <xf numFmtId="170" fontId="12" fillId="3" borderId="22" xfId="0" applyNumberFormat="1" applyFont="1" applyFill="1" applyBorder="1" applyAlignment="1">
      <alignment horizontal="center"/>
    </xf>
    <xf numFmtId="170" fontId="12" fillId="9" borderId="11" xfId="0" applyNumberFormat="1" applyFont="1" applyFill="1" applyBorder="1" applyAlignment="1">
      <alignment horizontal="center"/>
    </xf>
    <xf numFmtId="170" fontId="12" fillId="9" borderId="13" xfId="0" applyNumberFormat="1" applyFont="1" applyFill="1" applyBorder="1" applyAlignment="1">
      <alignment horizontal="center"/>
    </xf>
    <xf numFmtId="170" fontId="12" fillId="9" borderId="22" xfId="0" applyNumberFormat="1" applyFont="1" applyFill="1" applyBorder="1" applyAlignment="1">
      <alignment horizontal="center"/>
    </xf>
    <xf numFmtId="170" fontId="12" fillId="3" borderId="6" xfId="0" applyNumberFormat="1" applyFont="1" applyFill="1" applyBorder="1" applyAlignment="1">
      <alignment horizontal="center"/>
    </xf>
    <xf numFmtId="170" fontId="12" fillId="3" borderId="7" xfId="0" applyNumberFormat="1" applyFont="1" applyFill="1" applyBorder="1" applyAlignment="1">
      <alignment horizontal="center"/>
    </xf>
    <xf numFmtId="170" fontId="12" fillId="3" borderId="1" xfId="0" applyNumberFormat="1" applyFont="1" applyFill="1" applyBorder="1" applyAlignment="1">
      <alignment horizontal="center"/>
    </xf>
    <xf numFmtId="164" fontId="13" fillId="5" borderId="2" xfId="0" applyNumberFormat="1" applyFont="1" applyFill="1" applyBorder="1" applyAlignment="1">
      <alignment horizontal="center" vertical="center" wrapText="1"/>
    </xf>
    <xf numFmtId="164" fontId="13" fillId="5" borderId="3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3" fillId="6" borderId="4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13" fillId="9" borderId="2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13" fillId="9" borderId="4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/>
    </xf>
    <xf numFmtId="0" fontId="12" fillId="9" borderId="13" xfId="0" applyFont="1" applyFill="1" applyBorder="1" applyAlignment="1">
      <alignment horizontal="center"/>
    </xf>
    <xf numFmtId="165" fontId="12" fillId="9" borderId="22" xfId="0" applyNumberFormat="1" applyFont="1" applyFill="1" applyBorder="1" applyAlignment="1">
      <alignment horizontal="center"/>
    </xf>
    <xf numFmtId="170" fontId="12" fillId="3" borderId="13" xfId="0" applyNumberFormat="1" applyFont="1" applyFill="1" applyBorder="1" applyAlignment="1">
      <alignment horizontal="center"/>
    </xf>
    <xf numFmtId="169" fontId="12" fillId="9" borderId="11" xfId="0" applyNumberFormat="1" applyFont="1" applyFill="1" applyBorder="1" applyAlignment="1">
      <alignment horizontal="center"/>
    </xf>
    <xf numFmtId="169" fontId="12" fillId="9" borderId="13" xfId="0" quotePrefix="1" applyNumberFormat="1" applyFont="1" applyFill="1" applyBorder="1" applyAlignment="1">
      <alignment horizontal="center"/>
    </xf>
    <xf numFmtId="169" fontId="12" fillId="9" borderId="11" xfId="0" quotePrefix="1" applyNumberFormat="1" applyFont="1" applyFill="1" applyBorder="1" applyAlignment="1">
      <alignment horizontal="center"/>
    </xf>
    <xf numFmtId="169" fontId="12" fillId="3" borderId="13" xfId="0" quotePrefix="1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 wrapText="1"/>
    </xf>
    <xf numFmtId="169" fontId="12" fillId="9" borderId="6" xfId="0" quotePrefix="1" applyNumberFormat="1" applyFont="1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horizontal="center"/>
    </xf>
    <xf numFmtId="0" fontId="8" fillId="18" borderId="0" xfId="0" applyFont="1" applyFill="1"/>
    <xf numFmtId="0" fontId="9" fillId="18" borderId="0" xfId="0" applyFont="1" applyFill="1" applyAlignment="1">
      <alignment horizontal="right"/>
    </xf>
    <xf numFmtId="0" fontId="7" fillId="18" borderId="0" xfId="0" applyFont="1" applyFill="1"/>
    <xf numFmtId="0" fontId="6" fillId="18" borderId="0" xfId="0" applyFont="1" applyFill="1"/>
    <xf numFmtId="0" fontId="11" fillId="18" borderId="0" xfId="0" applyFont="1" applyFill="1"/>
    <xf numFmtId="0" fontId="17" fillId="18" borderId="0" xfId="0" applyFont="1" applyFill="1" applyAlignment="1">
      <alignment horizontal="right"/>
    </xf>
    <xf numFmtId="0" fontId="11" fillId="18" borderId="0" xfId="0" applyFont="1" applyFill="1" applyAlignment="1">
      <alignment horizontal="center"/>
    </xf>
    <xf numFmtId="0" fontId="17" fillId="1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4" fontId="11" fillId="12" borderId="23" xfId="0" applyNumberFormat="1" applyFont="1" applyFill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1" fillId="11" borderId="23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167" fontId="8" fillId="21" borderId="0" xfId="0" applyNumberFormat="1" applyFont="1" applyFill="1" applyAlignment="1">
      <alignment horizontal="left" vertical="center"/>
    </xf>
    <xf numFmtId="0" fontId="8" fillId="21" borderId="0" xfId="0" applyFont="1" applyFill="1" applyAlignment="1">
      <alignment horizontal="left" vertical="center"/>
    </xf>
    <xf numFmtId="0" fontId="18" fillId="21" borderId="0" xfId="0" applyFont="1" applyFill="1" applyAlignment="1">
      <alignment horizontal="centerContinuous" wrapText="1"/>
    </xf>
    <xf numFmtId="0" fontId="18" fillId="20" borderId="0" xfId="0" applyFont="1" applyFill="1" applyAlignment="1">
      <alignment horizontal="right" vertical="center"/>
    </xf>
    <xf numFmtId="0" fontId="15" fillId="20" borderId="0" xfId="0" applyFont="1" applyFill="1" applyAlignment="1">
      <alignment horizontal="right" vertical="center"/>
    </xf>
    <xf numFmtId="0" fontId="15" fillId="21" borderId="0" xfId="0" applyFont="1" applyFill="1" applyAlignment="1">
      <alignment horizontal="left" vertical="center"/>
    </xf>
    <xf numFmtId="0" fontId="20" fillId="26" borderId="0" xfId="0" applyFont="1" applyFill="1" applyAlignment="1">
      <alignment horizontal="left" vertical="center"/>
    </xf>
    <xf numFmtId="0" fontId="20" fillId="27" borderId="0" xfId="0" applyFont="1" applyFill="1" applyAlignment="1">
      <alignment horizontal="right" vertical="center"/>
    </xf>
    <xf numFmtId="0" fontId="15" fillId="28" borderId="24" xfId="0" applyFont="1" applyFill="1" applyBorder="1" applyAlignment="1">
      <alignment horizontal="left"/>
    </xf>
    <xf numFmtId="0" fontId="15" fillId="29" borderId="24" xfId="0" applyFont="1" applyFill="1" applyBorder="1" applyAlignment="1">
      <alignment horizontal="left"/>
    </xf>
    <xf numFmtId="0" fontId="15" fillId="30" borderId="24" xfId="0" applyFont="1" applyFill="1" applyBorder="1" applyAlignment="1">
      <alignment horizontal="left"/>
    </xf>
    <xf numFmtId="0" fontId="15" fillId="31" borderId="24" xfId="0" applyFont="1" applyFill="1" applyBorder="1" applyAlignment="1">
      <alignment horizontal="left"/>
    </xf>
    <xf numFmtId="0" fontId="23" fillId="32" borderId="29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left" vertical="center"/>
    </xf>
    <xf numFmtId="0" fontId="18" fillId="24" borderId="0" xfId="0" applyFont="1" applyFill="1" applyAlignment="1">
      <alignment horizontal="centerContinuous"/>
    </xf>
    <xf numFmtId="0" fontId="18" fillId="25" borderId="0" xfId="0" applyFont="1" applyFill="1" applyAlignment="1">
      <alignment horizontal="centerContinuous"/>
    </xf>
    <xf numFmtId="0" fontId="15" fillId="18" borderId="0" xfId="0" applyFont="1" applyFill="1"/>
    <xf numFmtId="0" fontId="29" fillId="18" borderId="0" xfId="0" applyFont="1" applyFill="1" applyAlignment="1">
      <alignment horizontal="right"/>
    </xf>
    <xf numFmtId="0" fontId="21" fillId="36" borderId="0" xfId="0" applyFont="1" applyFill="1" applyAlignment="1">
      <alignment vertical="center"/>
    </xf>
    <xf numFmtId="0" fontId="19" fillId="36" borderId="0" xfId="0" applyFont="1" applyFill="1" applyAlignment="1">
      <alignment vertical="center" wrapText="1"/>
    </xf>
    <xf numFmtId="0" fontId="18" fillId="18" borderId="0" xfId="0" applyFont="1" applyFill="1"/>
    <xf numFmtId="0" fontId="30" fillId="33" borderId="0" xfId="0" applyFont="1" applyFill="1"/>
    <xf numFmtId="0" fontId="15" fillId="18" borderId="0" xfId="0" applyFont="1" applyFill="1" applyAlignment="1">
      <alignment vertical="top" wrapText="1"/>
    </xf>
    <xf numFmtId="0" fontId="15" fillId="18" borderId="0" xfId="0" applyFont="1" applyFill="1" applyAlignment="1">
      <alignment horizontal="left" vertical="top" wrapText="1"/>
    </xf>
    <xf numFmtId="0" fontId="36" fillId="20" borderId="0" xfId="0" applyFont="1" applyFill="1" applyAlignment="1">
      <alignment horizontal="right"/>
    </xf>
    <xf numFmtId="0" fontId="20" fillId="36" borderId="0" xfId="0" applyFont="1" applyFill="1" applyAlignment="1">
      <alignment horizontal="right" vertical="center"/>
    </xf>
    <xf numFmtId="167" fontId="37" fillId="9" borderId="33" xfId="0" applyNumberFormat="1" applyFont="1" applyFill="1" applyBorder="1" applyAlignment="1">
      <alignment horizontal="center" vertical="center"/>
    </xf>
    <xf numFmtId="167" fontId="38" fillId="9" borderId="33" xfId="0" applyNumberFormat="1" applyFont="1" applyFill="1" applyBorder="1" applyAlignment="1">
      <alignment horizontal="center" vertical="center"/>
    </xf>
    <xf numFmtId="167" fontId="37" fillId="9" borderId="34" xfId="0" applyNumberFormat="1" applyFont="1" applyFill="1" applyBorder="1" applyAlignment="1">
      <alignment horizontal="center" vertical="center"/>
    </xf>
    <xf numFmtId="0" fontId="40" fillId="38" borderId="16" xfId="0" applyFont="1" applyFill="1" applyBorder="1" applyAlignment="1">
      <alignment horizontal="center" vertical="top"/>
    </xf>
    <xf numFmtId="167" fontId="37" fillId="9" borderId="3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/>
    </xf>
    <xf numFmtId="0" fontId="14" fillId="16" borderId="33" xfId="0" applyFont="1" applyFill="1" applyBorder="1" applyAlignment="1">
      <alignment horizontal="center"/>
    </xf>
    <xf numFmtId="165" fontId="11" fillId="17" borderId="6" xfId="0" applyNumberFormat="1" applyFont="1" applyFill="1" applyBorder="1" applyAlignment="1">
      <alignment horizontal="center" vertical="center"/>
    </xf>
    <xf numFmtId="170" fontId="11" fillId="17" borderId="1" xfId="0" applyNumberFormat="1" applyFont="1" applyFill="1" applyBorder="1" applyAlignment="1">
      <alignment horizontal="center" vertical="center"/>
    </xf>
    <xf numFmtId="165" fontId="11" fillId="3" borderId="6" xfId="0" applyNumberFormat="1" applyFont="1" applyFill="1" applyBorder="1" applyAlignment="1">
      <alignment horizontal="center" vertical="center"/>
    </xf>
    <xf numFmtId="170" fontId="11" fillId="3" borderId="1" xfId="0" applyNumberFormat="1" applyFont="1" applyFill="1" applyBorder="1" applyAlignment="1">
      <alignment horizontal="center" vertical="center"/>
    </xf>
    <xf numFmtId="165" fontId="11" fillId="3" borderId="8" xfId="0" applyNumberFormat="1" applyFont="1" applyFill="1" applyBorder="1" applyAlignment="1">
      <alignment horizontal="center" vertical="center"/>
    </xf>
    <xf numFmtId="170" fontId="11" fillId="3" borderId="9" xfId="0" applyNumberFormat="1" applyFont="1" applyFill="1" applyBorder="1" applyAlignment="1">
      <alignment horizontal="center" vertical="center"/>
    </xf>
    <xf numFmtId="170" fontId="12" fillId="9" borderId="1" xfId="0" applyNumberFormat="1" applyFont="1" applyFill="1" applyBorder="1" applyAlignment="1">
      <alignment horizontal="center"/>
    </xf>
    <xf numFmtId="169" fontId="12" fillId="9" borderId="1" xfId="0" quotePrefix="1" applyNumberFormat="1" applyFont="1" applyFill="1" applyBorder="1" applyAlignment="1">
      <alignment horizontal="center"/>
    </xf>
    <xf numFmtId="0" fontId="40" fillId="38" borderId="0" xfId="0" applyFont="1" applyFill="1" applyAlignment="1">
      <alignment horizontal="center" vertical="top"/>
    </xf>
    <xf numFmtId="0" fontId="17" fillId="38" borderId="0" xfId="0" applyFont="1" applyFill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169" fontId="12" fillId="9" borderId="40" xfId="0" quotePrefix="1" applyNumberFormat="1" applyFont="1" applyFill="1" applyBorder="1" applyAlignment="1">
      <alignment horizontal="center"/>
    </xf>
    <xf numFmtId="169" fontId="12" fillId="3" borderId="40" xfId="0" quotePrefix="1" applyNumberFormat="1" applyFont="1" applyFill="1" applyBorder="1" applyAlignment="1">
      <alignment horizontal="center"/>
    </xf>
    <xf numFmtId="169" fontId="12" fillId="3" borderId="40" xfId="0" applyNumberFormat="1" applyFont="1" applyFill="1" applyBorder="1" applyAlignment="1">
      <alignment horizontal="center"/>
    </xf>
    <xf numFmtId="0" fontId="12" fillId="9" borderId="40" xfId="0" applyFont="1" applyFill="1" applyBorder="1" applyAlignment="1">
      <alignment horizontal="center"/>
    </xf>
    <xf numFmtId="170" fontId="12" fillId="3" borderId="40" xfId="0" applyNumberFormat="1" applyFont="1" applyFill="1" applyBorder="1" applyAlignment="1">
      <alignment horizontal="center"/>
    </xf>
    <xf numFmtId="170" fontId="12" fillId="9" borderId="40" xfId="0" applyNumberFormat="1" applyFont="1" applyFill="1" applyBorder="1" applyAlignment="1">
      <alignment horizontal="center"/>
    </xf>
    <xf numFmtId="166" fontId="1" fillId="3" borderId="14" xfId="0" applyNumberFormat="1" applyFont="1" applyFill="1" applyBorder="1" applyAlignment="1">
      <alignment horizontal="left" vertical="center"/>
    </xf>
    <xf numFmtId="164" fontId="1" fillId="3" borderId="14" xfId="0" applyNumberFormat="1" applyFon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/>
    </xf>
    <xf numFmtId="168" fontId="0" fillId="3" borderId="14" xfId="0" applyNumberFormat="1" applyFill="1" applyBorder="1" applyAlignment="1">
      <alignment horizontal="center"/>
    </xf>
    <xf numFmtId="164" fontId="12" fillId="3" borderId="22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left"/>
    </xf>
    <xf numFmtId="164" fontId="12" fillId="3" borderId="7" xfId="0" applyNumberFormat="1" applyFont="1" applyFill="1" applyBorder="1" applyAlignment="1">
      <alignment horizontal="left"/>
    </xf>
    <xf numFmtId="164" fontId="12" fillId="3" borderId="10" xfId="0" applyNumberFormat="1" applyFont="1" applyFill="1" applyBorder="1" applyAlignment="1">
      <alignment horizontal="left"/>
    </xf>
    <xf numFmtId="170" fontId="12" fillId="3" borderId="42" xfId="0" applyNumberFormat="1" applyFont="1" applyFill="1" applyBorder="1" applyAlignment="1">
      <alignment horizontal="center"/>
    </xf>
    <xf numFmtId="170" fontId="12" fillId="9" borderId="6" xfId="0" applyNumberFormat="1" applyFont="1" applyFill="1" applyBorder="1" applyAlignment="1">
      <alignment horizontal="center"/>
    </xf>
    <xf numFmtId="170" fontId="12" fillId="9" borderId="42" xfId="0" applyNumberFormat="1" applyFont="1" applyFill="1" applyBorder="1" applyAlignment="1">
      <alignment horizontal="center"/>
    </xf>
    <xf numFmtId="169" fontId="12" fillId="9" borderId="6" xfId="0" applyNumberFormat="1" applyFont="1" applyFill="1" applyBorder="1" applyAlignment="1">
      <alignment horizontal="center"/>
    </xf>
    <xf numFmtId="169" fontId="12" fillId="9" borderId="42" xfId="0" applyNumberFormat="1" applyFont="1" applyFill="1" applyBorder="1" applyAlignment="1">
      <alignment horizontal="center"/>
    </xf>
    <xf numFmtId="169" fontId="12" fillId="9" borderId="42" xfId="0" quotePrefix="1" applyNumberFormat="1" applyFont="1" applyFill="1" applyBorder="1" applyAlignment="1">
      <alignment horizontal="center"/>
    </xf>
    <xf numFmtId="164" fontId="12" fillId="9" borderId="38" xfId="0" applyNumberFormat="1" applyFont="1" applyFill="1" applyBorder="1" applyAlignment="1">
      <alignment horizontal="left" vertical="center"/>
    </xf>
    <xf numFmtId="164" fontId="12" fillId="9" borderId="43" xfId="0" applyNumberFormat="1" applyFont="1" applyFill="1" applyBorder="1" applyAlignment="1">
      <alignment horizontal="left" vertical="center"/>
    </xf>
    <xf numFmtId="164" fontId="12" fillId="9" borderId="44" xfId="0" applyNumberFormat="1" applyFont="1" applyFill="1" applyBorder="1" applyAlignment="1">
      <alignment horizontal="left" vertical="center"/>
    </xf>
    <xf numFmtId="170" fontId="12" fillId="3" borderId="45" xfId="0" applyNumberFormat="1" applyFont="1" applyFill="1" applyBorder="1" applyAlignment="1">
      <alignment horizontal="center"/>
    </xf>
    <xf numFmtId="170" fontId="12" fillId="9" borderId="7" xfId="0" applyNumberFormat="1" applyFont="1" applyFill="1" applyBorder="1" applyAlignment="1">
      <alignment horizontal="center"/>
    </xf>
    <xf numFmtId="170" fontId="12" fillId="9" borderId="45" xfId="0" applyNumberFormat="1" applyFont="1" applyFill="1" applyBorder="1" applyAlignment="1">
      <alignment horizontal="center"/>
    </xf>
    <xf numFmtId="169" fontId="12" fillId="9" borderId="7" xfId="0" quotePrefix="1" applyNumberFormat="1" applyFont="1" applyFill="1" applyBorder="1" applyAlignment="1">
      <alignment horizontal="center"/>
    </xf>
    <xf numFmtId="169" fontId="12" fillId="9" borderId="45" xfId="0" quotePrefix="1" applyNumberFormat="1" applyFont="1" applyFill="1" applyBorder="1" applyAlignment="1">
      <alignment horizontal="center"/>
    </xf>
    <xf numFmtId="169" fontId="12" fillId="3" borderId="45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 wrapText="1"/>
    </xf>
    <xf numFmtId="167" fontId="39" fillId="38" borderId="0" xfId="0" applyNumberFormat="1" applyFont="1" applyFill="1" applyAlignment="1">
      <alignment vertical="center"/>
    </xf>
    <xf numFmtId="0" fontId="17" fillId="38" borderId="16" xfId="0" applyFont="1" applyFill="1" applyBorder="1" applyAlignment="1">
      <alignment horizontal="center" vertical="top"/>
    </xf>
    <xf numFmtId="0" fontId="17" fillId="38" borderId="18" xfId="0" applyFont="1" applyFill="1" applyBorder="1" applyAlignment="1">
      <alignment horizontal="center" vertical="top"/>
    </xf>
    <xf numFmtId="0" fontId="17" fillId="38" borderId="19" xfId="0" applyFont="1" applyFill="1" applyBorder="1" applyAlignment="1">
      <alignment horizontal="center" vertical="top"/>
    </xf>
    <xf numFmtId="0" fontId="17" fillId="38" borderId="0" xfId="0" applyFont="1" applyFill="1" applyAlignment="1">
      <alignment vertical="top"/>
    </xf>
    <xf numFmtId="169" fontId="12" fillId="3" borderId="22" xfId="0" applyNumberFormat="1" applyFont="1" applyFill="1" applyBorder="1" applyAlignment="1">
      <alignment horizontal="center" wrapText="1"/>
    </xf>
    <xf numFmtId="167" fontId="38" fillId="9" borderId="5" xfId="0" applyNumberFormat="1" applyFont="1" applyFill="1" applyBorder="1" applyAlignment="1">
      <alignment horizontal="center" vertical="center"/>
    </xf>
    <xf numFmtId="0" fontId="1" fillId="38" borderId="0" xfId="0" applyFont="1" applyFill="1"/>
    <xf numFmtId="0" fontId="1" fillId="38" borderId="16" xfId="0" applyFont="1" applyFill="1" applyBorder="1" applyAlignment="1">
      <alignment horizontal="center"/>
    </xf>
    <xf numFmtId="0" fontId="1" fillId="38" borderId="0" xfId="0" applyFont="1" applyFill="1" applyAlignment="1">
      <alignment horizontal="center"/>
    </xf>
    <xf numFmtId="167" fontId="13" fillId="9" borderId="1" xfId="0" applyNumberFormat="1" applyFont="1" applyFill="1" applyBorder="1" applyAlignment="1">
      <alignment horizontal="center"/>
    </xf>
    <xf numFmtId="167" fontId="17" fillId="9" borderId="1" xfId="0" applyNumberFormat="1" applyFont="1" applyFill="1" applyBorder="1" applyAlignment="1">
      <alignment horizontal="center"/>
    </xf>
    <xf numFmtId="167" fontId="37" fillId="9" borderId="46" xfId="0" applyNumberFormat="1" applyFont="1" applyFill="1" applyBorder="1" applyAlignment="1">
      <alignment horizontal="center" vertical="center"/>
    </xf>
    <xf numFmtId="164" fontId="12" fillId="9" borderId="50" xfId="0" applyNumberFormat="1" applyFont="1" applyFill="1" applyBorder="1" applyAlignment="1">
      <alignment horizontal="left" vertical="center"/>
    </xf>
    <xf numFmtId="164" fontId="12" fillId="9" borderId="51" xfId="0" applyNumberFormat="1" applyFont="1" applyFill="1" applyBorder="1" applyAlignment="1">
      <alignment horizontal="left" vertical="center"/>
    </xf>
    <xf numFmtId="164" fontId="12" fillId="9" borderId="52" xfId="0" applyNumberFormat="1" applyFont="1" applyFill="1" applyBorder="1" applyAlignment="1">
      <alignment horizontal="left" vertical="center"/>
    </xf>
    <xf numFmtId="165" fontId="11" fillId="15" borderId="0" xfId="0" applyNumberFormat="1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left"/>
      <protection locked="0"/>
    </xf>
    <xf numFmtId="4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15" fillId="15" borderId="0" xfId="0" applyFont="1" applyFill="1" applyAlignment="1">
      <alignment horizontal="left"/>
    </xf>
    <xf numFmtId="0" fontId="15" fillId="15" borderId="0" xfId="0" applyFont="1" applyFill="1"/>
    <xf numFmtId="0" fontId="42" fillId="16" borderId="5" xfId="0" applyFont="1" applyFill="1" applyBorder="1" applyAlignment="1">
      <alignment horizontal="center"/>
    </xf>
    <xf numFmtId="0" fontId="42" fillId="16" borderId="33" xfId="0" applyFont="1" applyFill="1" applyBorder="1" applyAlignment="1">
      <alignment horizontal="center"/>
    </xf>
    <xf numFmtId="0" fontId="11" fillId="3" borderId="0" xfId="0" applyFont="1" applyFill="1" applyAlignment="1">
      <alignment horizontal="center" wrapText="1"/>
    </xf>
    <xf numFmtId="0" fontId="13" fillId="3" borderId="0" xfId="0" applyFont="1" applyFill="1" applyAlignment="1">
      <alignment horizontal="left"/>
    </xf>
    <xf numFmtId="0" fontId="11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7" fillId="3" borderId="0" xfId="0" applyFont="1" applyFill="1" applyAlignment="1">
      <alignment horizontal="left" vertical="center"/>
    </xf>
    <xf numFmtId="0" fontId="17" fillId="3" borderId="0" xfId="0" applyFont="1" applyFill="1"/>
    <xf numFmtId="0" fontId="17" fillId="3" borderId="0" xfId="0" applyFont="1" applyFill="1" applyAlignment="1">
      <alignment horizontal="center" vertical="center"/>
    </xf>
    <xf numFmtId="0" fontId="43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49" fontId="11" fillId="3" borderId="0" xfId="0" applyNumberFormat="1" applyFont="1" applyFill="1" applyAlignment="1">
      <alignment horizontal="center"/>
    </xf>
    <xf numFmtId="0" fontId="43" fillId="3" borderId="0" xfId="0" applyFont="1" applyFill="1" applyAlignment="1">
      <alignment horizontal="center"/>
    </xf>
    <xf numFmtId="0" fontId="43" fillId="3" borderId="0" xfId="0" applyFont="1" applyFill="1" applyAlignment="1">
      <alignment horizontal="center" vertical="center"/>
    </xf>
    <xf numFmtId="166" fontId="17" fillId="3" borderId="14" xfId="0" applyNumberFormat="1" applyFont="1" applyFill="1" applyBorder="1" applyAlignment="1">
      <alignment horizontal="left" vertical="center"/>
    </xf>
    <xf numFmtId="164" fontId="17" fillId="3" borderId="14" xfId="0" applyNumberFormat="1" applyFont="1" applyFill="1" applyBorder="1" applyAlignment="1">
      <alignment horizontal="center" vertical="center"/>
    </xf>
    <xf numFmtId="166" fontId="11" fillId="3" borderId="14" xfId="0" applyNumberFormat="1" applyFont="1" applyFill="1" applyBorder="1" applyAlignment="1">
      <alignment horizontal="center"/>
    </xf>
    <xf numFmtId="168" fontId="11" fillId="3" borderId="14" xfId="0" applyNumberFormat="1" applyFont="1" applyFill="1" applyBorder="1" applyAlignment="1">
      <alignment horizontal="center"/>
    </xf>
    <xf numFmtId="170" fontId="12" fillId="3" borderId="11" xfId="0" applyNumberFormat="1" applyFont="1" applyFill="1" applyBorder="1" applyAlignment="1" applyProtection="1">
      <alignment horizontal="center"/>
      <protection locked="0"/>
    </xf>
    <xf numFmtId="170" fontId="12" fillId="3" borderId="13" xfId="0" applyNumberFormat="1" applyFont="1" applyFill="1" applyBorder="1" applyAlignment="1" applyProtection="1">
      <alignment horizontal="center"/>
      <protection locked="0"/>
    </xf>
    <xf numFmtId="170" fontId="12" fillId="3" borderId="22" xfId="0" applyNumberFormat="1" applyFont="1" applyFill="1" applyBorder="1" applyAlignment="1" applyProtection="1">
      <alignment horizontal="center"/>
      <protection locked="0"/>
    </xf>
    <xf numFmtId="170" fontId="12" fillId="3" borderId="6" xfId="0" applyNumberFormat="1" applyFont="1" applyFill="1" applyBorder="1" applyAlignment="1" applyProtection="1">
      <alignment horizontal="center"/>
      <protection locked="0"/>
    </xf>
    <xf numFmtId="170" fontId="12" fillId="3" borderId="1" xfId="0" applyNumberFormat="1" applyFont="1" applyFill="1" applyBorder="1" applyAlignment="1" applyProtection="1">
      <alignment horizontal="center"/>
      <protection locked="0"/>
    </xf>
    <xf numFmtId="170" fontId="12" fillId="3" borderId="7" xfId="0" applyNumberFormat="1" applyFont="1" applyFill="1" applyBorder="1" applyAlignment="1" applyProtection="1">
      <alignment horizontal="center"/>
      <protection locked="0"/>
    </xf>
    <xf numFmtId="170" fontId="12" fillId="3" borderId="1" xfId="0" quotePrefix="1" applyNumberFormat="1" applyFont="1" applyFill="1" applyBorder="1" applyAlignment="1" applyProtection="1">
      <alignment horizontal="center"/>
      <protection locked="0"/>
    </xf>
    <xf numFmtId="170" fontId="12" fillId="3" borderId="40" xfId="0" applyNumberFormat="1" applyFont="1" applyFill="1" applyBorder="1" applyAlignment="1" applyProtection="1">
      <alignment horizontal="center"/>
      <protection locked="0"/>
    </xf>
    <xf numFmtId="170" fontId="12" fillId="3" borderId="42" xfId="0" applyNumberFormat="1" applyFont="1" applyFill="1" applyBorder="1" applyAlignment="1" applyProtection="1">
      <alignment horizontal="center"/>
      <protection locked="0"/>
    </xf>
    <xf numFmtId="170" fontId="12" fillId="3" borderId="45" xfId="0" applyNumberFormat="1" applyFont="1" applyFill="1" applyBorder="1" applyAlignment="1" applyProtection="1">
      <alignment horizontal="center"/>
      <protection locked="0"/>
    </xf>
    <xf numFmtId="0" fontId="8" fillId="19" borderId="0" xfId="0" applyFont="1" applyFill="1" applyAlignment="1" applyProtection="1">
      <alignment horizontal="left" vertical="center"/>
      <protection locked="0"/>
    </xf>
    <xf numFmtId="169" fontId="12" fillId="3" borderId="13" xfId="0" quotePrefix="1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/>
      <protection locked="0"/>
    </xf>
    <xf numFmtId="169" fontId="12" fillId="3" borderId="22" xfId="0" applyNumberFormat="1" applyFont="1" applyFill="1" applyBorder="1" applyAlignment="1" applyProtection="1">
      <alignment horizontal="center"/>
      <protection locked="0"/>
    </xf>
    <xf numFmtId="169" fontId="12" fillId="3" borderId="1" xfId="0" quotePrefix="1" applyNumberFormat="1" applyFont="1" applyFill="1" applyBorder="1" applyAlignment="1" applyProtection="1">
      <alignment horizontal="center"/>
      <protection locked="0"/>
    </xf>
    <xf numFmtId="169" fontId="12" fillId="3" borderId="7" xfId="0" applyNumberFormat="1" applyFont="1" applyFill="1" applyBorder="1" applyAlignment="1" applyProtection="1">
      <alignment horizontal="center"/>
      <protection locked="0"/>
    </xf>
    <xf numFmtId="169" fontId="12" fillId="3" borderId="1" xfId="0" applyNumberFormat="1" applyFont="1" applyFill="1" applyBorder="1" applyAlignment="1" applyProtection="1">
      <alignment horizontal="center"/>
      <protection locked="0"/>
    </xf>
    <xf numFmtId="169" fontId="12" fillId="3" borderId="40" xfId="0" quotePrefix="1" applyNumberFormat="1" applyFont="1" applyFill="1" applyBorder="1" applyAlignment="1" applyProtection="1">
      <alignment horizontal="center"/>
      <protection locked="0"/>
    </xf>
    <xf numFmtId="169" fontId="12" fillId="3" borderId="40" xfId="0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 wrapText="1"/>
      <protection locked="0"/>
    </xf>
    <xf numFmtId="169" fontId="12" fillId="3" borderId="34" xfId="0" applyNumberFormat="1" applyFont="1" applyFill="1" applyBorder="1" applyAlignment="1" applyProtection="1">
      <alignment horizontal="center" wrapText="1"/>
      <protection locked="0"/>
    </xf>
    <xf numFmtId="169" fontId="12" fillId="3" borderId="1" xfId="0" applyNumberFormat="1" applyFont="1" applyFill="1" applyBorder="1" applyAlignment="1" applyProtection="1">
      <alignment horizontal="center" wrapText="1"/>
      <protection locked="0"/>
    </xf>
    <xf numFmtId="169" fontId="12" fillId="3" borderId="7" xfId="0" applyNumberFormat="1" applyFont="1" applyFill="1" applyBorder="1" applyAlignment="1" applyProtection="1">
      <alignment horizontal="center" wrapText="1"/>
      <protection locked="0"/>
    </xf>
    <xf numFmtId="169" fontId="12" fillId="3" borderId="10" xfId="0" applyNumberFormat="1" applyFont="1" applyFill="1" applyBorder="1" applyAlignment="1" applyProtection="1">
      <alignment horizontal="center"/>
      <protection locked="0"/>
    </xf>
    <xf numFmtId="164" fontId="12" fillId="3" borderId="53" xfId="0" applyNumberFormat="1" applyFont="1" applyFill="1" applyBorder="1" applyAlignment="1" applyProtection="1">
      <alignment horizontal="left"/>
      <protection locked="0"/>
    </xf>
    <xf numFmtId="0" fontId="12" fillId="3" borderId="49" xfId="0" applyFont="1" applyFill="1" applyBorder="1" applyAlignment="1" applyProtection="1">
      <alignment horizontal="left"/>
      <protection locked="0"/>
    </xf>
    <xf numFmtId="164" fontId="12" fillId="3" borderId="49" xfId="0" applyNumberFormat="1" applyFont="1" applyFill="1" applyBorder="1" applyAlignment="1" applyProtection="1">
      <alignment horizontal="left"/>
      <protection locked="0"/>
    </xf>
    <xf numFmtId="164" fontId="12" fillId="3" borderId="54" xfId="0" applyNumberFormat="1" applyFont="1" applyFill="1" applyBorder="1" applyAlignment="1" applyProtection="1">
      <alignment horizontal="left"/>
      <protection locked="0"/>
    </xf>
    <xf numFmtId="165" fontId="11" fillId="17" borderId="6" xfId="0" applyNumberFormat="1" applyFont="1" applyFill="1" applyBorder="1" applyAlignment="1" applyProtection="1">
      <alignment horizontal="center" vertical="center"/>
      <protection locked="0"/>
    </xf>
    <xf numFmtId="170" fontId="11" fillId="17" borderId="1" xfId="0" applyNumberFormat="1" applyFont="1" applyFill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8" xfId="0" applyNumberFormat="1" applyFont="1" applyBorder="1" applyAlignment="1" applyProtection="1">
      <alignment horizontal="center" vertical="center"/>
      <protection locked="0"/>
    </xf>
    <xf numFmtId="170" fontId="11" fillId="0" borderId="9" xfId="0" applyNumberFormat="1" applyFont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1" fillId="33" borderId="0" xfId="0" applyFont="1" applyFill="1" applyAlignment="1">
      <alignment horizontal="justify" wrapText="1"/>
    </xf>
    <xf numFmtId="0" fontId="15" fillId="3" borderId="0" xfId="0" applyFont="1" applyFill="1"/>
    <xf numFmtId="0" fontId="18" fillId="3" borderId="0" xfId="0" applyFont="1" applyFill="1"/>
    <xf numFmtId="0" fontId="17" fillId="39" borderId="23" xfId="0" applyFont="1" applyFill="1" applyBorder="1" applyAlignment="1">
      <alignment horizontal="center"/>
    </xf>
    <xf numFmtId="0" fontId="15" fillId="40" borderId="24" xfId="0" applyFont="1" applyFill="1" applyBorder="1" applyAlignment="1">
      <alignment horizontal="left"/>
    </xf>
    <xf numFmtId="0" fontId="11" fillId="33" borderId="0" xfId="0" applyFont="1" applyFill="1" applyAlignment="1">
      <alignment horizontal="center"/>
    </xf>
    <xf numFmtId="169" fontId="12" fillId="3" borderId="9" xfId="0" applyNumberFormat="1" applyFont="1" applyFill="1" applyBorder="1" applyAlignment="1" applyProtection="1">
      <alignment horizontal="center"/>
      <protection locked="0"/>
    </xf>
    <xf numFmtId="0" fontId="13" fillId="8" borderId="57" xfId="0" applyFont="1" applyFill="1" applyBorder="1" applyAlignment="1">
      <alignment horizontal="center" vertical="center" wrapText="1"/>
    </xf>
    <xf numFmtId="169" fontId="12" fillId="3" borderId="38" xfId="0" applyNumberFormat="1" applyFont="1" applyFill="1" applyBorder="1" applyAlignment="1">
      <alignment horizontal="center"/>
    </xf>
    <xf numFmtId="169" fontId="12" fillId="3" borderId="43" xfId="0" applyNumberFormat="1" applyFont="1" applyFill="1" applyBorder="1" applyAlignment="1">
      <alignment horizontal="center"/>
    </xf>
    <xf numFmtId="169" fontId="12" fillId="3" borderId="37" xfId="0" applyNumberFormat="1" applyFont="1" applyFill="1" applyBorder="1" applyAlignment="1">
      <alignment horizontal="center"/>
    </xf>
    <xf numFmtId="169" fontId="12" fillId="3" borderId="9" xfId="0" applyNumberFormat="1" applyFont="1" applyFill="1" applyBorder="1" applyAlignment="1">
      <alignment horizontal="center"/>
    </xf>
    <xf numFmtId="0" fontId="18" fillId="18" borderId="0" xfId="0" applyFont="1" applyFill="1" applyAlignment="1">
      <alignment horizontal="right"/>
    </xf>
    <xf numFmtId="0" fontId="51" fillId="18" borderId="0" xfId="1" applyFont="1" applyFill="1"/>
    <xf numFmtId="165" fontId="52" fillId="15" borderId="0" xfId="0" applyNumberFormat="1" applyFont="1" applyFill="1" applyAlignment="1" applyProtection="1">
      <alignment horizontal="center"/>
      <protection locked="0"/>
    </xf>
    <xf numFmtId="0" fontId="52" fillId="15" borderId="0" xfId="0" applyFont="1" applyFill="1" applyAlignment="1" applyProtection="1">
      <alignment horizontal="center"/>
      <protection locked="0"/>
    </xf>
    <xf numFmtId="0" fontId="52" fillId="15" borderId="0" xfId="0" applyFont="1" applyFill="1" applyAlignment="1" applyProtection="1">
      <alignment horizontal="left"/>
      <protection locked="0"/>
    </xf>
    <xf numFmtId="0" fontId="24" fillId="18" borderId="0" xfId="0" applyFont="1" applyFill="1"/>
    <xf numFmtId="0" fontId="49" fillId="18" borderId="0" xfId="1" applyFill="1"/>
    <xf numFmtId="0" fontId="15" fillId="18" borderId="0" xfId="0" applyFont="1" applyFill="1" applyAlignment="1">
      <alignment horizontal="justify" vertical="top" wrapText="1"/>
    </xf>
    <xf numFmtId="0" fontId="26" fillId="24" borderId="0" xfId="0" applyFont="1" applyFill="1" applyAlignment="1">
      <alignment horizontal="right"/>
    </xf>
    <xf numFmtId="0" fontId="26" fillId="24" borderId="27" xfId="0" applyFont="1" applyFill="1" applyBorder="1" applyAlignment="1">
      <alignment horizontal="right"/>
    </xf>
    <xf numFmtId="0" fontId="19" fillId="25" borderId="0" xfId="0" applyFont="1" applyFill="1" applyAlignment="1">
      <alignment horizontal="right" vertical="center" wrapText="1"/>
    </xf>
    <xf numFmtId="0" fontId="21" fillId="24" borderId="26" xfId="0" applyFont="1" applyFill="1" applyBorder="1" applyAlignment="1">
      <alignment vertical="center"/>
    </xf>
    <xf numFmtId="0" fontId="30" fillId="33" borderId="0" xfId="0" applyFont="1" applyFill="1" applyAlignment="1">
      <alignment horizontal="justify" wrapText="1"/>
    </xf>
    <xf numFmtId="0" fontId="31" fillId="33" borderId="0" xfId="0" applyFont="1" applyFill="1" applyAlignment="1">
      <alignment horizontal="justify" wrapText="1"/>
    </xf>
    <xf numFmtId="0" fontId="34" fillId="33" borderId="0" xfId="0" applyFont="1" applyFill="1" applyAlignment="1">
      <alignment horizontal="justify" vertical="top" wrapText="1"/>
    </xf>
    <xf numFmtId="0" fontId="20" fillId="37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right" vertical="center"/>
    </xf>
    <xf numFmtId="0" fontId="21" fillId="24" borderId="26" xfId="0" applyFont="1" applyFill="1" applyBorder="1" applyAlignment="1">
      <alignment horizontal="center" vertical="center"/>
    </xf>
    <xf numFmtId="0" fontId="28" fillId="35" borderId="0" xfId="0" applyFont="1" applyFill="1" applyAlignment="1">
      <alignment horizontal="right"/>
    </xf>
    <xf numFmtId="0" fontId="28" fillId="35" borderId="30" xfId="0" applyFont="1" applyFill="1" applyBorder="1" applyAlignment="1">
      <alignment horizontal="right"/>
    </xf>
    <xf numFmtId="0" fontId="27" fillId="35" borderId="0" xfId="0" applyFont="1" applyFill="1" applyAlignment="1">
      <alignment horizontal="center" vertical="center"/>
    </xf>
    <xf numFmtId="0" fontId="9" fillId="20" borderId="0" xfId="0" applyFont="1" applyFill="1" applyAlignment="1">
      <alignment horizontal="right" vertical="center"/>
    </xf>
    <xf numFmtId="0" fontId="25" fillId="23" borderId="28" xfId="0" applyFont="1" applyFill="1" applyBorder="1" applyAlignment="1">
      <alignment horizontal="right"/>
    </xf>
    <xf numFmtId="0" fontId="22" fillId="23" borderId="31" xfId="0" applyFont="1" applyFill="1" applyBorder="1" applyAlignment="1">
      <alignment horizontal="center" vertical="center"/>
    </xf>
    <xf numFmtId="0" fontId="22" fillId="23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right" vertical="center" wrapText="1"/>
    </xf>
    <xf numFmtId="0" fontId="45" fillId="42" borderId="55" xfId="0" applyFont="1" applyFill="1" applyBorder="1" applyAlignment="1">
      <alignment horizontal="right"/>
    </xf>
    <xf numFmtId="0" fontId="19" fillId="41" borderId="0" xfId="0" applyFont="1" applyFill="1" applyAlignment="1">
      <alignment horizontal="right" vertical="center" wrapText="1"/>
    </xf>
    <xf numFmtId="0" fontId="46" fillId="42" borderId="56" xfId="0" applyFont="1" applyFill="1" applyBorder="1" applyAlignment="1">
      <alignment horizontal="center" vertical="center"/>
    </xf>
    <xf numFmtId="0" fontId="46" fillId="42" borderId="0" xfId="0" applyFont="1" applyFill="1" applyAlignment="1">
      <alignment horizontal="center" vertical="center"/>
    </xf>
    <xf numFmtId="0" fontId="30" fillId="33" borderId="0" xfId="0" applyFont="1" applyFill="1" applyAlignment="1">
      <alignment wrapText="1"/>
    </xf>
    <xf numFmtId="0" fontId="21" fillId="24" borderId="0" xfId="0" applyFont="1" applyFill="1" applyAlignment="1">
      <alignment horizontal="center" vertical="center"/>
    </xf>
    <xf numFmtId="0" fontId="19" fillId="34" borderId="0" xfId="0" applyFont="1" applyFill="1" applyAlignment="1">
      <alignment horizontal="right" vertical="center" wrapText="1"/>
    </xf>
    <xf numFmtId="0" fontId="11" fillId="3" borderId="1" xfId="0" applyFont="1" applyFill="1" applyBorder="1" applyAlignment="1">
      <alignment vertical="center"/>
    </xf>
    <xf numFmtId="0" fontId="11" fillId="3" borderId="7" xfId="0" applyFont="1" applyFill="1" applyBorder="1" applyAlignment="1">
      <alignment vertical="center"/>
    </xf>
    <xf numFmtId="0" fontId="11" fillId="3" borderId="9" xfId="0" applyFont="1" applyFill="1" applyBorder="1" applyAlignment="1">
      <alignment vertical="center"/>
    </xf>
    <xf numFmtId="0" fontId="11" fillId="3" borderId="10" xfId="0" applyFont="1" applyFill="1" applyBorder="1" applyAlignment="1">
      <alignment vertical="center"/>
    </xf>
    <xf numFmtId="0" fontId="13" fillId="5" borderId="41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4" fillId="16" borderId="33" xfId="0" applyFont="1" applyFill="1" applyBorder="1" applyAlignment="1">
      <alignment horizontal="left"/>
    </xf>
    <xf numFmtId="0" fontId="14" fillId="16" borderId="34" xfId="0" applyFont="1" applyFill="1" applyBorder="1" applyAlignment="1">
      <alignment horizontal="left"/>
    </xf>
    <xf numFmtId="0" fontId="11" fillId="17" borderId="1" xfId="0" applyFont="1" applyFill="1" applyBorder="1" applyAlignment="1">
      <alignment vertical="center"/>
    </xf>
    <xf numFmtId="0" fontId="11" fillId="17" borderId="7" xfId="0" applyFont="1" applyFill="1" applyBorder="1" applyAlignment="1">
      <alignment vertical="center"/>
    </xf>
    <xf numFmtId="167" fontId="41" fillId="9" borderId="36" xfId="0" applyNumberFormat="1" applyFont="1" applyFill="1" applyBorder="1" applyAlignment="1">
      <alignment horizontal="center" vertical="center"/>
    </xf>
    <xf numFmtId="167" fontId="41" fillId="9" borderId="32" xfId="0" applyNumberFormat="1" applyFont="1" applyFill="1" applyBorder="1" applyAlignment="1">
      <alignment horizontal="center" vertical="center"/>
    </xf>
    <xf numFmtId="167" fontId="41" fillId="9" borderId="37" xfId="0" applyNumberFormat="1" applyFont="1" applyFill="1" applyBorder="1" applyAlignment="1">
      <alignment horizontal="center" vertical="center"/>
    </xf>
    <xf numFmtId="167" fontId="41" fillId="9" borderId="12" xfId="0" applyNumberFormat="1" applyFont="1" applyFill="1" applyBorder="1" applyAlignment="1">
      <alignment horizontal="center" vertical="center"/>
    </xf>
    <xf numFmtId="167" fontId="41" fillId="9" borderId="39" xfId="0" applyNumberFormat="1" applyFont="1" applyFill="1" applyBorder="1" applyAlignment="1">
      <alignment horizontal="center" vertical="center"/>
    </xf>
    <xf numFmtId="167" fontId="41" fillId="9" borderId="38" xfId="0" applyNumberFormat="1" applyFont="1" applyFill="1" applyBorder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0" fontId="8" fillId="38" borderId="15" xfId="0" applyFont="1" applyFill="1" applyBorder="1" applyAlignment="1">
      <alignment horizontal="center" vertical="center"/>
    </xf>
    <xf numFmtId="0" fontId="8" fillId="38" borderId="17" xfId="0" applyFont="1" applyFill="1" applyBorder="1" applyAlignment="1">
      <alignment horizontal="center" vertical="center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7" xfId="0" applyFont="1" applyBorder="1" applyAlignment="1" applyProtection="1">
      <alignment vertical="center"/>
      <protection locked="0"/>
    </xf>
    <xf numFmtId="0" fontId="11" fillId="0" borderId="9" xfId="0" applyFont="1" applyBorder="1" applyAlignment="1" applyProtection="1">
      <alignment vertical="center"/>
      <protection locked="0"/>
    </xf>
    <xf numFmtId="0" fontId="11" fillId="0" borderId="10" xfId="0" applyFont="1" applyBorder="1" applyAlignment="1" applyProtection="1">
      <alignment vertical="center"/>
      <protection locked="0"/>
    </xf>
    <xf numFmtId="0" fontId="11" fillId="0" borderId="48" xfId="0" applyFont="1" applyBorder="1" applyAlignment="1" applyProtection="1">
      <alignment vertical="center"/>
      <protection locked="0"/>
    </xf>
    <xf numFmtId="0" fontId="11" fillId="0" borderId="47" xfId="0" applyFont="1" applyBorder="1" applyAlignment="1" applyProtection="1">
      <alignment vertical="center"/>
      <protection locked="0"/>
    </xf>
    <xf numFmtId="0" fontId="11" fillId="0" borderId="49" xfId="0" applyFont="1" applyBorder="1" applyAlignment="1" applyProtection="1">
      <alignment vertical="center"/>
      <protection locked="0"/>
    </xf>
    <xf numFmtId="0" fontId="42" fillId="16" borderId="33" xfId="0" applyFont="1" applyFill="1" applyBorder="1" applyAlignment="1">
      <alignment horizontal="left"/>
    </xf>
    <xf numFmtId="0" fontId="42" fillId="16" borderId="34" xfId="0" applyFont="1" applyFill="1" applyBorder="1" applyAlignment="1">
      <alignment horizontal="left"/>
    </xf>
    <xf numFmtId="0" fontId="11" fillId="17" borderId="1" xfId="0" applyFont="1" applyFill="1" applyBorder="1" applyAlignment="1" applyProtection="1">
      <alignment vertical="center"/>
      <protection locked="0"/>
    </xf>
    <xf numFmtId="0" fontId="11" fillId="17" borderId="7" xfId="0" applyFont="1" applyFill="1" applyBorder="1" applyAlignment="1" applyProtection="1">
      <alignment vertical="center"/>
      <protection locked="0"/>
    </xf>
  </cellXfs>
  <cellStyles count="2">
    <cellStyle name="Hiperlink" xfId="1" builtinId="8"/>
    <cellStyle name="Normal" xfId="0" builtinId="0"/>
  </cellStyles>
  <dxfs count="603"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/>
        <strike val="0"/>
        <color theme="0"/>
      </font>
      <fill>
        <patternFill>
          <bgColor theme="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left style="thin">
          <color theme="7" tint="0.79998168889431442"/>
        </left>
        <right style="thin">
          <color theme="7" tint="0.79998168889431442"/>
        </right>
        <bottom style="thin">
          <color theme="7" tint="0.79998168889431442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>
        <top style="thin">
          <color theme="0" tint="-4.9989318521683403E-2"/>
        </top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8"/>
        <color auto="1"/>
        <name val="Calibri Light"/>
        <scheme val="maj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alignment horizontal="lef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dd/mm/yy;@"/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fgColor indexed="64"/>
          <bgColor theme="7" tint="0.79998168889431442"/>
        </patternFill>
      </fill>
      <protection locked="0" hidden="0"/>
    </dxf>
    <dxf>
      <font>
        <b val="0"/>
        <strike val="0"/>
        <outline val="0"/>
        <shadow val="0"/>
        <u val="none"/>
        <vertAlign val="baseline"/>
        <sz val="16"/>
        <color theme="1"/>
        <name val="Calibri Light"/>
        <scheme val="major"/>
      </font>
      <alignment horizontal="center" vertical="center" textRotation="0" wrapText="0" indent="0" justifyLastLine="0" shrinkToFit="0" readingOrder="0"/>
      <protection locked="1" hidden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7" tint="0.79998168889431442"/>
        </left>
        <right style="thin">
          <color theme="7" tint="0.79998168889431442"/>
        </right>
        <top style="thin">
          <color theme="7" tint="0.79998168889431442"/>
        </top>
        <bottom style="thin">
          <color theme="7" tint="0.79998168889431442"/>
        </bottom>
        <horizontal style="thin">
          <color theme="7" tint="0.79998168889431442"/>
        </horizontal>
      </border>
    </dxf>
    <dxf>
      <border>
        <left style="thin">
          <color theme="1"/>
        </left>
      </border>
    </dxf>
    <dxf>
      <border>
        <left style="thin">
          <color rgb="FF00B050"/>
        </left>
      </border>
    </dxf>
    <dxf>
      <border>
        <top style="thin">
          <color rgb="FF00B050"/>
        </top>
      </border>
    </dxf>
    <dxf>
      <font>
        <b val="0"/>
        <i val="0"/>
      </font>
      <border>
        <top style="thin">
          <color rgb="FF00B050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00B050"/>
        </top>
      </border>
    </dxf>
    <dxf>
      <font>
        <b/>
        <i val="0"/>
        <color theme="0"/>
      </font>
      <fill>
        <patternFill patternType="solid">
          <fgColor auto="1"/>
          <bgColor rgb="FF00B050"/>
        </patternFill>
      </fill>
    </dxf>
    <dxf>
      <font>
        <color theme="1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horizontal style="thin">
          <color rgb="FF00B050"/>
        </horizontal>
      </border>
    </dxf>
  </dxfs>
  <tableStyles count="2" defaultTableStyle="TableStyleMedium2" defaultPivotStyle="PivotStyleLight16">
    <tableStyle name="TableStyleLight verde" pivot="0" count="9" xr9:uid="{00000000-0011-0000-FFFF-FFFF00000000}">
      <tableStyleElement type="wholeTable" dxfId="602"/>
      <tableStyleElement type="headerRow" dxfId="601"/>
      <tableStyleElement type="totalRow" dxfId="600"/>
      <tableStyleElement type="firstColumn" dxfId="599"/>
      <tableStyleElement type="lastColumn" dxfId="598"/>
      <tableStyleElement type="firstRowStripe" dxfId="597"/>
      <tableStyleElement type="secondRowStripe" dxfId="596"/>
      <tableStyleElement type="firstColumnStripe" dxfId="595"/>
      <tableStyleElement type="secondColumnStripe" dxfId="594"/>
    </tableStyle>
    <tableStyle name="TableStyleLight8 2" pivot="0" count="9" xr9:uid="{00000000-0011-0000-FFFF-FFFF01000000}">
      <tableStyleElement type="wholeTable" dxfId="593"/>
      <tableStyleElement type="headerRow" dxfId="592"/>
      <tableStyleElement type="totalRow" dxfId="591"/>
      <tableStyleElement type="firstColumn" dxfId="590"/>
      <tableStyleElement type="lastColumn" dxfId="589"/>
      <tableStyleElement type="firstRowStripe" dxfId="588"/>
      <tableStyleElement type="secondRowStripe" dxfId="587"/>
      <tableStyleElement type="firstColumnStripe" dxfId="586"/>
      <tableStyleElement type="secondColumnStripe" dxfId="585"/>
    </tableStyle>
  </tableStyles>
  <colors>
    <mruColors>
      <color rgb="FFF7FE9A"/>
      <color rgb="FFC9A6E4"/>
      <color rgb="FF25FF49"/>
      <color rgb="FF0FF12A"/>
      <color rgb="FF0D3A78"/>
      <color rgb="FFD9EAFD"/>
      <color rgb="FFE1CCF0"/>
      <color rgb="FFFF99FF"/>
      <color rgb="FFC495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3/09/relationships/Python" Target="pyth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</xdr:row>
          <xdr:rowOff>152400</xdr:rowOff>
        </xdr:from>
        <xdr:to>
          <xdr:col>4</xdr:col>
          <xdr:colOff>885825</xdr:colOff>
          <xdr:row>3</xdr:row>
          <xdr:rowOff>200025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000000"/>
                  </a:solidFill>
                  <a:latin typeface="Candara"/>
                </a:rPr>
                <a:t>Novo Controle de Horas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18</xdr:row>
      <xdr:rowOff>27214</xdr:rowOff>
    </xdr:from>
    <xdr:to>
      <xdr:col>2</xdr:col>
      <xdr:colOff>27214</xdr:colOff>
      <xdr:row>50</xdr:row>
      <xdr:rowOff>40822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7697F70-BD05-58E5-D1F6-1657C2386BE4}"/>
            </a:ext>
          </a:extLst>
        </xdr:cNvPr>
        <xdr:cNvSpPr/>
      </xdr:nvSpPr>
      <xdr:spPr>
        <a:xfrm>
          <a:off x="898071" y="27214"/>
          <a:ext cx="1510393" cy="7007679"/>
        </a:xfrm>
        <a:custGeom>
          <a:avLst/>
          <a:gdLst>
            <a:gd name="connsiteX0" fmla="*/ 0 w 1510393"/>
            <a:gd name="connsiteY0" fmla="*/ 0 h 7007679"/>
            <a:gd name="connsiteX1" fmla="*/ 488360 w 1510393"/>
            <a:gd name="connsiteY1" fmla="*/ 0 h 7007679"/>
            <a:gd name="connsiteX2" fmla="*/ 946513 w 1510393"/>
            <a:gd name="connsiteY2" fmla="*/ 0 h 7007679"/>
            <a:gd name="connsiteX3" fmla="*/ 1510393 w 1510393"/>
            <a:gd name="connsiteY3" fmla="*/ 0 h 7007679"/>
            <a:gd name="connsiteX4" fmla="*/ 1510393 w 1510393"/>
            <a:gd name="connsiteY4" fmla="*/ 513896 h 7007679"/>
            <a:gd name="connsiteX5" fmla="*/ 1510393 w 1510393"/>
            <a:gd name="connsiteY5" fmla="*/ 957716 h 7007679"/>
            <a:gd name="connsiteX6" fmla="*/ 1510393 w 1510393"/>
            <a:gd name="connsiteY6" fmla="*/ 1401536 h 7007679"/>
            <a:gd name="connsiteX7" fmla="*/ 1510393 w 1510393"/>
            <a:gd name="connsiteY7" fmla="*/ 1985509 h 7007679"/>
            <a:gd name="connsiteX8" fmla="*/ 1510393 w 1510393"/>
            <a:gd name="connsiteY8" fmla="*/ 2569482 h 7007679"/>
            <a:gd name="connsiteX9" fmla="*/ 1510393 w 1510393"/>
            <a:gd name="connsiteY9" fmla="*/ 3013302 h 7007679"/>
            <a:gd name="connsiteX10" fmla="*/ 1510393 w 1510393"/>
            <a:gd name="connsiteY10" fmla="*/ 3457122 h 7007679"/>
            <a:gd name="connsiteX11" fmla="*/ 1510393 w 1510393"/>
            <a:gd name="connsiteY11" fmla="*/ 4041095 h 7007679"/>
            <a:gd name="connsiteX12" fmla="*/ 1510393 w 1510393"/>
            <a:gd name="connsiteY12" fmla="*/ 4695145 h 7007679"/>
            <a:gd name="connsiteX13" fmla="*/ 1510393 w 1510393"/>
            <a:gd name="connsiteY13" fmla="*/ 5068888 h 7007679"/>
            <a:gd name="connsiteX14" fmla="*/ 1510393 w 1510393"/>
            <a:gd name="connsiteY14" fmla="*/ 5652861 h 7007679"/>
            <a:gd name="connsiteX15" fmla="*/ 1510393 w 1510393"/>
            <a:gd name="connsiteY15" fmla="*/ 6236834 h 7007679"/>
            <a:gd name="connsiteX16" fmla="*/ 1510393 w 1510393"/>
            <a:gd name="connsiteY16" fmla="*/ 7007679 h 7007679"/>
            <a:gd name="connsiteX17" fmla="*/ 991825 w 1510393"/>
            <a:gd name="connsiteY17" fmla="*/ 7007679 h 7007679"/>
            <a:gd name="connsiteX18" fmla="*/ 488360 w 1510393"/>
            <a:gd name="connsiteY18" fmla="*/ 7007679 h 7007679"/>
            <a:gd name="connsiteX19" fmla="*/ 0 w 1510393"/>
            <a:gd name="connsiteY19" fmla="*/ 7007679 h 7007679"/>
            <a:gd name="connsiteX20" fmla="*/ 0 w 1510393"/>
            <a:gd name="connsiteY20" fmla="*/ 6563859 h 7007679"/>
            <a:gd name="connsiteX21" fmla="*/ 0 w 1510393"/>
            <a:gd name="connsiteY21" fmla="*/ 6049963 h 7007679"/>
            <a:gd name="connsiteX22" fmla="*/ 0 w 1510393"/>
            <a:gd name="connsiteY22" fmla="*/ 5325836 h 7007679"/>
            <a:gd name="connsiteX23" fmla="*/ 0 w 1510393"/>
            <a:gd name="connsiteY23" fmla="*/ 4741863 h 7007679"/>
            <a:gd name="connsiteX24" fmla="*/ 0 w 1510393"/>
            <a:gd name="connsiteY24" fmla="*/ 4227966 h 7007679"/>
            <a:gd name="connsiteX25" fmla="*/ 0 w 1510393"/>
            <a:gd name="connsiteY25" fmla="*/ 3854223 h 7007679"/>
            <a:gd name="connsiteX26" fmla="*/ 0 w 1510393"/>
            <a:gd name="connsiteY26" fmla="*/ 3480481 h 7007679"/>
            <a:gd name="connsiteX27" fmla="*/ 0 w 1510393"/>
            <a:gd name="connsiteY27" fmla="*/ 2826431 h 7007679"/>
            <a:gd name="connsiteX28" fmla="*/ 0 w 1510393"/>
            <a:gd name="connsiteY28" fmla="*/ 2382611 h 7007679"/>
            <a:gd name="connsiteX29" fmla="*/ 0 w 1510393"/>
            <a:gd name="connsiteY29" fmla="*/ 1658484 h 7007679"/>
            <a:gd name="connsiteX30" fmla="*/ 0 w 1510393"/>
            <a:gd name="connsiteY30" fmla="*/ 1144588 h 7007679"/>
            <a:gd name="connsiteX31" fmla="*/ 0 w 1510393"/>
            <a:gd name="connsiteY31" fmla="*/ 770845 h 7007679"/>
            <a:gd name="connsiteX32" fmla="*/ 0 w 1510393"/>
            <a:gd name="connsiteY32" fmla="*/ 0 h 7007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10393" h="7007679" extrusionOk="0">
              <a:moveTo>
                <a:pt x="0" y="0"/>
              </a:moveTo>
              <a:cubicBezTo>
                <a:pt x="175673" y="-41168"/>
                <a:pt x="251778" y="17685"/>
                <a:pt x="488360" y="0"/>
              </a:cubicBezTo>
              <a:cubicBezTo>
                <a:pt x="724942" y="-17685"/>
                <a:pt x="717572" y="18896"/>
                <a:pt x="946513" y="0"/>
              </a:cubicBezTo>
              <a:cubicBezTo>
                <a:pt x="1175454" y="-18896"/>
                <a:pt x="1338933" y="41938"/>
                <a:pt x="1510393" y="0"/>
              </a:cubicBezTo>
              <a:cubicBezTo>
                <a:pt x="1550728" y="156603"/>
                <a:pt x="1470339" y="378298"/>
                <a:pt x="1510393" y="513896"/>
              </a:cubicBezTo>
              <a:cubicBezTo>
                <a:pt x="1550447" y="649494"/>
                <a:pt x="1478741" y="757581"/>
                <a:pt x="1510393" y="957716"/>
              </a:cubicBezTo>
              <a:cubicBezTo>
                <a:pt x="1542045" y="1157851"/>
                <a:pt x="1498688" y="1234328"/>
                <a:pt x="1510393" y="1401536"/>
              </a:cubicBezTo>
              <a:cubicBezTo>
                <a:pt x="1522098" y="1568744"/>
                <a:pt x="1459459" y="1763908"/>
                <a:pt x="1510393" y="1985509"/>
              </a:cubicBezTo>
              <a:cubicBezTo>
                <a:pt x="1561327" y="2207110"/>
                <a:pt x="1445787" y="2320379"/>
                <a:pt x="1510393" y="2569482"/>
              </a:cubicBezTo>
              <a:cubicBezTo>
                <a:pt x="1574999" y="2818585"/>
                <a:pt x="1501947" y="2807431"/>
                <a:pt x="1510393" y="3013302"/>
              </a:cubicBezTo>
              <a:cubicBezTo>
                <a:pt x="1518839" y="3219173"/>
                <a:pt x="1475672" y="3308088"/>
                <a:pt x="1510393" y="3457122"/>
              </a:cubicBezTo>
              <a:cubicBezTo>
                <a:pt x="1545114" y="3606156"/>
                <a:pt x="1462525" y="3858866"/>
                <a:pt x="1510393" y="4041095"/>
              </a:cubicBezTo>
              <a:cubicBezTo>
                <a:pt x="1558261" y="4223324"/>
                <a:pt x="1487921" y="4459266"/>
                <a:pt x="1510393" y="4695145"/>
              </a:cubicBezTo>
              <a:cubicBezTo>
                <a:pt x="1532865" y="4931024"/>
                <a:pt x="1486034" y="4921415"/>
                <a:pt x="1510393" y="5068888"/>
              </a:cubicBezTo>
              <a:cubicBezTo>
                <a:pt x="1534752" y="5216361"/>
                <a:pt x="1459331" y="5517212"/>
                <a:pt x="1510393" y="5652861"/>
              </a:cubicBezTo>
              <a:cubicBezTo>
                <a:pt x="1561455" y="5788510"/>
                <a:pt x="1467115" y="6015662"/>
                <a:pt x="1510393" y="6236834"/>
              </a:cubicBezTo>
              <a:cubicBezTo>
                <a:pt x="1553671" y="6458006"/>
                <a:pt x="1505722" y="6838052"/>
                <a:pt x="1510393" y="7007679"/>
              </a:cubicBezTo>
              <a:cubicBezTo>
                <a:pt x="1393018" y="7008955"/>
                <a:pt x="1159627" y="6974342"/>
                <a:pt x="991825" y="7007679"/>
              </a:cubicBezTo>
              <a:cubicBezTo>
                <a:pt x="824023" y="7041016"/>
                <a:pt x="646735" y="7005615"/>
                <a:pt x="488360" y="7007679"/>
              </a:cubicBezTo>
              <a:cubicBezTo>
                <a:pt x="329985" y="7009743"/>
                <a:pt x="186233" y="6963135"/>
                <a:pt x="0" y="7007679"/>
              </a:cubicBezTo>
              <a:cubicBezTo>
                <a:pt x="-3173" y="6870761"/>
                <a:pt x="29235" y="6753929"/>
                <a:pt x="0" y="6563859"/>
              </a:cubicBezTo>
              <a:cubicBezTo>
                <a:pt x="-29235" y="6373789"/>
                <a:pt x="8946" y="6262632"/>
                <a:pt x="0" y="6049963"/>
              </a:cubicBezTo>
              <a:cubicBezTo>
                <a:pt x="-8946" y="5837294"/>
                <a:pt x="52164" y="5644776"/>
                <a:pt x="0" y="5325836"/>
              </a:cubicBezTo>
              <a:cubicBezTo>
                <a:pt x="-52164" y="5006896"/>
                <a:pt x="28012" y="4996272"/>
                <a:pt x="0" y="4741863"/>
              </a:cubicBezTo>
              <a:cubicBezTo>
                <a:pt x="-28012" y="4487454"/>
                <a:pt x="45845" y="4371501"/>
                <a:pt x="0" y="4227966"/>
              </a:cubicBezTo>
              <a:cubicBezTo>
                <a:pt x="-45845" y="4084431"/>
                <a:pt x="6374" y="3960009"/>
                <a:pt x="0" y="3854223"/>
              </a:cubicBezTo>
              <a:cubicBezTo>
                <a:pt x="-6374" y="3748437"/>
                <a:pt x="1426" y="3582411"/>
                <a:pt x="0" y="3480481"/>
              </a:cubicBezTo>
              <a:cubicBezTo>
                <a:pt x="-1426" y="3378551"/>
                <a:pt x="7564" y="3129183"/>
                <a:pt x="0" y="2826431"/>
              </a:cubicBezTo>
              <a:cubicBezTo>
                <a:pt x="-7564" y="2523679"/>
                <a:pt x="10318" y="2576064"/>
                <a:pt x="0" y="2382611"/>
              </a:cubicBezTo>
              <a:cubicBezTo>
                <a:pt x="-10318" y="2189158"/>
                <a:pt x="59320" y="2000961"/>
                <a:pt x="0" y="1658484"/>
              </a:cubicBezTo>
              <a:cubicBezTo>
                <a:pt x="-59320" y="1316007"/>
                <a:pt x="3030" y="1252477"/>
                <a:pt x="0" y="1144588"/>
              </a:cubicBezTo>
              <a:cubicBezTo>
                <a:pt x="-3030" y="1036699"/>
                <a:pt x="2185" y="911826"/>
                <a:pt x="0" y="770845"/>
              </a:cubicBezTo>
              <a:cubicBezTo>
                <a:pt x="-2185" y="629864"/>
                <a:pt x="61930" y="32620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11</xdr:col>
      <xdr:colOff>0</xdr:colOff>
      <xdr:row>50</xdr:row>
      <xdr:rowOff>13608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8975C6B-57DC-680A-D2A7-99A8DA0750E5}"/>
            </a:ext>
          </a:extLst>
        </xdr:cNvPr>
        <xdr:cNvSpPr/>
      </xdr:nvSpPr>
      <xdr:spPr>
        <a:xfrm>
          <a:off x="6517821" y="0"/>
          <a:ext cx="3374572" cy="7007679"/>
        </a:xfrm>
        <a:custGeom>
          <a:avLst/>
          <a:gdLst>
            <a:gd name="connsiteX0" fmla="*/ 0 w 3374572"/>
            <a:gd name="connsiteY0" fmla="*/ 0 h 7007679"/>
            <a:gd name="connsiteX1" fmla="*/ 528683 w 3374572"/>
            <a:gd name="connsiteY1" fmla="*/ 0 h 7007679"/>
            <a:gd name="connsiteX2" fmla="*/ 989874 w 3374572"/>
            <a:gd name="connsiteY2" fmla="*/ 0 h 7007679"/>
            <a:gd name="connsiteX3" fmla="*/ 1619795 w 3374572"/>
            <a:gd name="connsiteY3" fmla="*/ 0 h 7007679"/>
            <a:gd name="connsiteX4" fmla="*/ 2148478 w 3374572"/>
            <a:gd name="connsiteY4" fmla="*/ 0 h 7007679"/>
            <a:gd name="connsiteX5" fmla="*/ 2677160 w 3374572"/>
            <a:gd name="connsiteY5" fmla="*/ 0 h 7007679"/>
            <a:gd name="connsiteX6" fmla="*/ 3374572 w 3374572"/>
            <a:gd name="connsiteY6" fmla="*/ 0 h 7007679"/>
            <a:gd name="connsiteX7" fmla="*/ 3374572 w 3374572"/>
            <a:gd name="connsiteY7" fmla="*/ 443820 h 7007679"/>
            <a:gd name="connsiteX8" fmla="*/ 3374572 w 3374572"/>
            <a:gd name="connsiteY8" fmla="*/ 1027793 h 7007679"/>
            <a:gd name="connsiteX9" fmla="*/ 3374572 w 3374572"/>
            <a:gd name="connsiteY9" fmla="*/ 1471613 h 7007679"/>
            <a:gd name="connsiteX10" fmla="*/ 3374572 w 3374572"/>
            <a:gd name="connsiteY10" fmla="*/ 1915432 h 7007679"/>
            <a:gd name="connsiteX11" fmla="*/ 3374572 w 3374572"/>
            <a:gd name="connsiteY11" fmla="*/ 2499406 h 7007679"/>
            <a:gd name="connsiteX12" fmla="*/ 3374572 w 3374572"/>
            <a:gd name="connsiteY12" fmla="*/ 3153456 h 7007679"/>
            <a:gd name="connsiteX13" fmla="*/ 3374572 w 3374572"/>
            <a:gd name="connsiteY13" fmla="*/ 3527198 h 7007679"/>
            <a:gd name="connsiteX14" fmla="*/ 3374572 w 3374572"/>
            <a:gd name="connsiteY14" fmla="*/ 4111172 h 7007679"/>
            <a:gd name="connsiteX15" fmla="*/ 3374572 w 3374572"/>
            <a:gd name="connsiteY15" fmla="*/ 4695145 h 7007679"/>
            <a:gd name="connsiteX16" fmla="*/ 3374572 w 3374572"/>
            <a:gd name="connsiteY16" fmla="*/ 5279118 h 7007679"/>
            <a:gd name="connsiteX17" fmla="*/ 3374572 w 3374572"/>
            <a:gd name="connsiteY17" fmla="*/ 5933168 h 7007679"/>
            <a:gd name="connsiteX18" fmla="*/ 3374572 w 3374572"/>
            <a:gd name="connsiteY18" fmla="*/ 7007679 h 7007679"/>
            <a:gd name="connsiteX19" fmla="*/ 2778398 w 3374572"/>
            <a:gd name="connsiteY19" fmla="*/ 7007679 h 7007679"/>
            <a:gd name="connsiteX20" fmla="*/ 2283460 w 3374572"/>
            <a:gd name="connsiteY20" fmla="*/ 7007679 h 7007679"/>
            <a:gd name="connsiteX21" fmla="*/ 1653540 w 3374572"/>
            <a:gd name="connsiteY21" fmla="*/ 7007679 h 7007679"/>
            <a:gd name="connsiteX22" fmla="*/ 1091112 w 3374572"/>
            <a:gd name="connsiteY22" fmla="*/ 7007679 h 7007679"/>
            <a:gd name="connsiteX23" fmla="*/ 596174 w 3374572"/>
            <a:gd name="connsiteY23" fmla="*/ 7007679 h 7007679"/>
            <a:gd name="connsiteX24" fmla="*/ 0 w 3374572"/>
            <a:gd name="connsiteY24" fmla="*/ 7007679 h 7007679"/>
            <a:gd name="connsiteX25" fmla="*/ 0 w 3374572"/>
            <a:gd name="connsiteY25" fmla="*/ 6633936 h 7007679"/>
            <a:gd name="connsiteX26" fmla="*/ 0 w 3374572"/>
            <a:gd name="connsiteY26" fmla="*/ 6260193 h 7007679"/>
            <a:gd name="connsiteX27" fmla="*/ 0 w 3374572"/>
            <a:gd name="connsiteY27" fmla="*/ 5606143 h 7007679"/>
            <a:gd name="connsiteX28" fmla="*/ 0 w 3374572"/>
            <a:gd name="connsiteY28" fmla="*/ 5162324 h 7007679"/>
            <a:gd name="connsiteX29" fmla="*/ 0 w 3374572"/>
            <a:gd name="connsiteY29" fmla="*/ 4438197 h 7007679"/>
            <a:gd name="connsiteX30" fmla="*/ 0 w 3374572"/>
            <a:gd name="connsiteY30" fmla="*/ 3924300 h 7007679"/>
            <a:gd name="connsiteX31" fmla="*/ 0 w 3374572"/>
            <a:gd name="connsiteY31" fmla="*/ 3550557 h 7007679"/>
            <a:gd name="connsiteX32" fmla="*/ 0 w 3374572"/>
            <a:gd name="connsiteY32" fmla="*/ 2896507 h 7007679"/>
            <a:gd name="connsiteX33" fmla="*/ 0 w 3374572"/>
            <a:gd name="connsiteY33" fmla="*/ 2452688 h 7007679"/>
            <a:gd name="connsiteX34" fmla="*/ 0 w 3374572"/>
            <a:gd name="connsiteY34" fmla="*/ 1798638 h 7007679"/>
            <a:gd name="connsiteX35" fmla="*/ 0 w 3374572"/>
            <a:gd name="connsiteY35" fmla="*/ 1074511 h 7007679"/>
            <a:gd name="connsiteX36" fmla="*/ 0 w 3374572"/>
            <a:gd name="connsiteY36" fmla="*/ 560614 h 7007679"/>
            <a:gd name="connsiteX37" fmla="*/ 0 w 3374572"/>
            <a:gd name="connsiteY37" fmla="*/ 0 h 7007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3374572" h="7007679" extrusionOk="0">
              <a:moveTo>
                <a:pt x="0" y="0"/>
              </a:moveTo>
              <a:cubicBezTo>
                <a:pt x="260372" y="-26343"/>
                <a:pt x="354356" y="27276"/>
                <a:pt x="528683" y="0"/>
              </a:cubicBezTo>
              <a:cubicBezTo>
                <a:pt x="703010" y="-27276"/>
                <a:pt x="841909" y="8320"/>
                <a:pt x="989874" y="0"/>
              </a:cubicBezTo>
              <a:cubicBezTo>
                <a:pt x="1137839" y="-8320"/>
                <a:pt x="1493082" y="38987"/>
                <a:pt x="1619795" y="0"/>
              </a:cubicBezTo>
              <a:cubicBezTo>
                <a:pt x="1746508" y="-38987"/>
                <a:pt x="2025137" y="31564"/>
                <a:pt x="2148478" y="0"/>
              </a:cubicBezTo>
              <a:cubicBezTo>
                <a:pt x="2271819" y="-31564"/>
                <a:pt x="2528881" y="61011"/>
                <a:pt x="2677160" y="0"/>
              </a:cubicBezTo>
              <a:cubicBezTo>
                <a:pt x="2825439" y="-61011"/>
                <a:pt x="3095884" y="14890"/>
                <a:pt x="3374572" y="0"/>
              </a:cubicBezTo>
              <a:cubicBezTo>
                <a:pt x="3378109" y="221680"/>
                <a:pt x="3357793" y="311541"/>
                <a:pt x="3374572" y="443820"/>
              </a:cubicBezTo>
              <a:cubicBezTo>
                <a:pt x="3391351" y="576099"/>
                <a:pt x="3309966" y="778690"/>
                <a:pt x="3374572" y="1027793"/>
              </a:cubicBezTo>
              <a:cubicBezTo>
                <a:pt x="3439178" y="1276896"/>
                <a:pt x="3366126" y="1265742"/>
                <a:pt x="3374572" y="1471613"/>
              </a:cubicBezTo>
              <a:cubicBezTo>
                <a:pt x="3383018" y="1677484"/>
                <a:pt x="3334064" y="1768610"/>
                <a:pt x="3374572" y="1915432"/>
              </a:cubicBezTo>
              <a:cubicBezTo>
                <a:pt x="3415080" y="2062254"/>
                <a:pt x="3328933" y="2312109"/>
                <a:pt x="3374572" y="2499406"/>
              </a:cubicBezTo>
              <a:cubicBezTo>
                <a:pt x="3420211" y="2686703"/>
                <a:pt x="3352100" y="2917577"/>
                <a:pt x="3374572" y="3153456"/>
              </a:cubicBezTo>
              <a:cubicBezTo>
                <a:pt x="3397044" y="3389335"/>
                <a:pt x="3345767" y="3387022"/>
                <a:pt x="3374572" y="3527198"/>
              </a:cubicBezTo>
              <a:cubicBezTo>
                <a:pt x="3403377" y="3667374"/>
                <a:pt x="3327761" y="3973436"/>
                <a:pt x="3374572" y="4111172"/>
              </a:cubicBezTo>
              <a:cubicBezTo>
                <a:pt x="3421383" y="4248908"/>
                <a:pt x="3331294" y="4473973"/>
                <a:pt x="3374572" y="4695145"/>
              </a:cubicBezTo>
              <a:cubicBezTo>
                <a:pt x="3417850" y="4916317"/>
                <a:pt x="3339572" y="5020505"/>
                <a:pt x="3374572" y="5279118"/>
              </a:cubicBezTo>
              <a:cubicBezTo>
                <a:pt x="3409572" y="5537731"/>
                <a:pt x="3369389" y="5773346"/>
                <a:pt x="3374572" y="5933168"/>
              </a:cubicBezTo>
              <a:cubicBezTo>
                <a:pt x="3379755" y="6092990"/>
                <a:pt x="3261022" y="6477300"/>
                <a:pt x="3374572" y="7007679"/>
              </a:cubicBezTo>
              <a:cubicBezTo>
                <a:pt x="3080847" y="7009307"/>
                <a:pt x="2973777" y="6960069"/>
                <a:pt x="2778398" y="7007679"/>
              </a:cubicBezTo>
              <a:cubicBezTo>
                <a:pt x="2583019" y="7055289"/>
                <a:pt x="2410663" y="6989077"/>
                <a:pt x="2283460" y="7007679"/>
              </a:cubicBezTo>
              <a:cubicBezTo>
                <a:pt x="2156257" y="7026281"/>
                <a:pt x="1873556" y="7004431"/>
                <a:pt x="1653540" y="7007679"/>
              </a:cubicBezTo>
              <a:cubicBezTo>
                <a:pt x="1433524" y="7010927"/>
                <a:pt x="1339696" y="6961345"/>
                <a:pt x="1091112" y="7007679"/>
              </a:cubicBezTo>
              <a:cubicBezTo>
                <a:pt x="842528" y="7054013"/>
                <a:pt x="698651" y="6999803"/>
                <a:pt x="596174" y="7007679"/>
              </a:cubicBezTo>
              <a:cubicBezTo>
                <a:pt x="493697" y="7015555"/>
                <a:pt x="128247" y="6950359"/>
                <a:pt x="0" y="7007679"/>
              </a:cubicBezTo>
              <a:cubicBezTo>
                <a:pt x="-15679" y="6902978"/>
                <a:pt x="6374" y="6739722"/>
                <a:pt x="0" y="6633936"/>
              </a:cubicBezTo>
              <a:cubicBezTo>
                <a:pt x="-6374" y="6528150"/>
                <a:pt x="43470" y="6371542"/>
                <a:pt x="0" y="6260193"/>
              </a:cubicBezTo>
              <a:cubicBezTo>
                <a:pt x="-43470" y="6148844"/>
                <a:pt x="7564" y="5908895"/>
                <a:pt x="0" y="5606143"/>
              </a:cubicBezTo>
              <a:cubicBezTo>
                <a:pt x="-7564" y="5303391"/>
                <a:pt x="11427" y="5353613"/>
                <a:pt x="0" y="5162324"/>
              </a:cubicBezTo>
              <a:cubicBezTo>
                <a:pt x="-11427" y="4971035"/>
                <a:pt x="59320" y="4780674"/>
                <a:pt x="0" y="4438197"/>
              </a:cubicBezTo>
              <a:cubicBezTo>
                <a:pt x="-59320" y="4095720"/>
                <a:pt x="2380" y="4035740"/>
                <a:pt x="0" y="3924300"/>
              </a:cubicBezTo>
              <a:cubicBezTo>
                <a:pt x="-2380" y="3812860"/>
                <a:pt x="2185" y="3691538"/>
                <a:pt x="0" y="3550557"/>
              </a:cubicBezTo>
              <a:cubicBezTo>
                <a:pt x="-2185" y="3409576"/>
                <a:pt x="56662" y="3192512"/>
                <a:pt x="0" y="2896507"/>
              </a:cubicBezTo>
              <a:cubicBezTo>
                <a:pt x="-56662" y="2600502"/>
                <a:pt x="36719" y="2647681"/>
                <a:pt x="0" y="2452688"/>
              </a:cubicBezTo>
              <a:cubicBezTo>
                <a:pt x="-36719" y="2257695"/>
                <a:pt x="56559" y="1954695"/>
                <a:pt x="0" y="1798638"/>
              </a:cubicBezTo>
              <a:cubicBezTo>
                <a:pt x="-56559" y="1642581"/>
                <a:pt x="40670" y="1236943"/>
                <a:pt x="0" y="1074511"/>
              </a:cubicBezTo>
              <a:cubicBezTo>
                <a:pt x="-40670" y="912079"/>
                <a:pt x="47597" y="804448"/>
                <a:pt x="0" y="560614"/>
              </a:cubicBezTo>
              <a:cubicBezTo>
                <a:pt x="-47597" y="316780"/>
                <a:pt x="59083" y="27907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24</xdr:col>
      <xdr:colOff>1</xdr:colOff>
      <xdr:row>18</xdr:row>
      <xdr:rowOff>54428</xdr:rowOff>
    </xdr:from>
    <xdr:to>
      <xdr:col>24</xdr:col>
      <xdr:colOff>326573</xdr:colOff>
      <xdr:row>50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B2F7514-317D-752A-3FED-04F8D588973A}"/>
            </a:ext>
          </a:extLst>
        </xdr:cNvPr>
        <xdr:cNvSpPr/>
      </xdr:nvSpPr>
      <xdr:spPr>
        <a:xfrm>
          <a:off x="20873358" y="54428"/>
          <a:ext cx="326572" cy="6939643"/>
        </a:xfrm>
        <a:custGeom>
          <a:avLst/>
          <a:gdLst>
            <a:gd name="connsiteX0" fmla="*/ 0 w 326572"/>
            <a:gd name="connsiteY0" fmla="*/ 0 h 6939643"/>
            <a:gd name="connsiteX1" fmla="*/ 326572 w 326572"/>
            <a:gd name="connsiteY1" fmla="*/ 0 h 6939643"/>
            <a:gd name="connsiteX2" fmla="*/ 326572 w 326572"/>
            <a:gd name="connsiteY2" fmla="*/ 370114 h 6939643"/>
            <a:gd name="connsiteX3" fmla="*/ 326572 w 326572"/>
            <a:gd name="connsiteY3" fmla="*/ 1087211 h 6939643"/>
            <a:gd name="connsiteX4" fmla="*/ 326572 w 326572"/>
            <a:gd name="connsiteY4" fmla="*/ 1665514 h 6939643"/>
            <a:gd name="connsiteX5" fmla="*/ 326572 w 326572"/>
            <a:gd name="connsiteY5" fmla="*/ 2105025 h 6939643"/>
            <a:gd name="connsiteX6" fmla="*/ 326572 w 326572"/>
            <a:gd name="connsiteY6" fmla="*/ 2544536 h 6939643"/>
            <a:gd name="connsiteX7" fmla="*/ 326572 w 326572"/>
            <a:gd name="connsiteY7" fmla="*/ 3122839 h 6939643"/>
            <a:gd name="connsiteX8" fmla="*/ 326572 w 326572"/>
            <a:gd name="connsiteY8" fmla="*/ 3701143 h 6939643"/>
            <a:gd name="connsiteX9" fmla="*/ 326572 w 326572"/>
            <a:gd name="connsiteY9" fmla="*/ 4140654 h 6939643"/>
            <a:gd name="connsiteX10" fmla="*/ 326572 w 326572"/>
            <a:gd name="connsiteY10" fmla="*/ 4580164 h 6939643"/>
            <a:gd name="connsiteX11" fmla="*/ 326572 w 326572"/>
            <a:gd name="connsiteY11" fmla="*/ 5158468 h 6939643"/>
            <a:gd name="connsiteX12" fmla="*/ 326572 w 326572"/>
            <a:gd name="connsiteY12" fmla="*/ 5806168 h 6939643"/>
            <a:gd name="connsiteX13" fmla="*/ 326572 w 326572"/>
            <a:gd name="connsiteY13" fmla="*/ 6176282 h 6939643"/>
            <a:gd name="connsiteX14" fmla="*/ 326572 w 326572"/>
            <a:gd name="connsiteY14" fmla="*/ 6939643 h 6939643"/>
            <a:gd name="connsiteX15" fmla="*/ 0 w 326572"/>
            <a:gd name="connsiteY15" fmla="*/ 6939643 h 6939643"/>
            <a:gd name="connsiteX16" fmla="*/ 0 w 326572"/>
            <a:gd name="connsiteY16" fmla="*/ 6361339 h 6939643"/>
            <a:gd name="connsiteX17" fmla="*/ 0 w 326572"/>
            <a:gd name="connsiteY17" fmla="*/ 5852432 h 6939643"/>
            <a:gd name="connsiteX18" fmla="*/ 0 w 326572"/>
            <a:gd name="connsiteY18" fmla="*/ 5482318 h 6939643"/>
            <a:gd name="connsiteX19" fmla="*/ 0 w 326572"/>
            <a:gd name="connsiteY19" fmla="*/ 5042807 h 6939643"/>
            <a:gd name="connsiteX20" fmla="*/ 0 w 326572"/>
            <a:gd name="connsiteY20" fmla="*/ 4603297 h 6939643"/>
            <a:gd name="connsiteX21" fmla="*/ 0 w 326572"/>
            <a:gd name="connsiteY21" fmla="*/ 4094389 h 6939643"/>
            <a:gd name="connsiteX22" fmla="*/ 0 w 326572"/>
            <a:gd name="connsiteY22" fmla="*/ 3377293 h 6939643"/>
            <a:gd name="connsiteX23" fmla="*/ 0 w 326572"/>
            <a:gd name="connsiteY23" fmla="*/ 2798989 h 6939643"/>
            <a:gd name="connsiteX24" fmla="*/ 0 w 326572"/>
            <a:gd name="connsiteY24" fmla="*/ 2290082 h 6939643"/>
            <a:gd name="connsiteX25" fmla="*/ 0 w 326572"/>
            <a:gd name="connsiteY25" fmla="*/ 1919968 h 6939643"/>
            <a:gd name="connsiteX26" fmla="*/ 0 w 326572"/>
            <a:gd name="connsiteY26" fmla="*/ 1549854 h 6939643"/>
            <a:gd name="connsiteX27" fmla="*/ 0 w 326572"/>
            <a:gd name="connsiteY27" fmla="*/ 902154 h 6939643"/>
            <a:gd name="connsiteX28" fmla="*/ 0 w 326572"/>
            <a:gd name="connsiteY28" fmla="*/ 0 h 6939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326572" h="6939643" extrusionOk="0">
              <a:moveTo>
                <a:pt x="0" y="0"/>
              </a:moveTo>
              <a:cubicBezTo>
                <a:pt x="132898" y="-31709"/>
                <a:pt x="197891" y="8178"/>
                <a:pt x="326572" y="0"/>
              </a:cubicBezTo>
              <a:cubicBezTo>
                <a:pt x="337433" y="125855"/>
                <a:pt x="284240" y="264824"/>
                <a:pt x="326572" y="370114"/>
              </a:cubicBezTo>
              <a:cubicBezTo>
                <a:pt x="368904" y="475404"/>
                <a:pt x="243081" y="926618"/>
                <a:pt x="326572" y="1087211"/>
              </a:cubicBezTo>
              <a:cubicBezTo>
                <a:pt x="410063" y="1247804"/>
                <a:pt x="324678" y="1379412"/>
                <a:pt x="326572" y="1665514"/>
              </a:cubicBezTo>
              <a:cubicBezTo>
                <a:pt x="328466" y="1951616"/>
                <a:pt x="322847" y="2005378"/>
                <a:pt x="326572" y="2105025"/>
              </a:cubicBezTo>
              <a:cubicBezTo>
                <a:pt x="330297" y="2204672"/>
                <a:pt x="285665" y="2380985"/>
                <a:pt x="326572" y="2544536"/>
              </a:cubicBezTo>
              <a:cubicBezTo>
                <a:pt x="367479" y="2708087"/>
                <a:pt x="306534" y="2956769"/>
                <a:pt x="326572" y="3122839"/>
              </a:cubicBezTo>
              <a:cubicBezTo>
                <a:pt x="346610" y="3288909"/>
                <a:pt x="260702" y="3557452"/>
                <a:pt x="326572" y="3701143"/>
              </a:cubicBezTo>
              <a:cubicBezTo>
                <a:pt x="392442" y="3844834"/>
                <a:pt x="294988" y="4032689"/>
                <a:pt x="326572" y="4140654"/>
              </a:cubicBezTo>
              <a:cubicBezTo>
                <a:pt x="358156" y="4248619"/>
                <a:pt x="296985" y="4473086"/>
                <a:pt x="326572" y="4580164"/>
              </a:cubicBezTo>
              <a:cubicBezTo>
                <a:pt x="356159" y="4687242"/>
                <a:pt x="274023" y="4904191"/>
                <a:pt x="326572" y="5158468"/>
              </a:cubicBezTo>
              <a:cubicBezTo>
                <a:pt x="379121" y="5412745"/>
                <a:pt x="262190" y="5537188"/>
                <a:pt x="326572" y="5806168"/>
              </a:cubicBezTo>
              <a:cubicBezTo>
                <a:pt x="390954" y="6075148"/>
                <a:pt x="289845" y="6084696"/>
                <a:pt x="326572" y="6176282"/>
              </a:cubicBezTo>
              <a:cubicBezTo>
                <a:pt x="363299" y="6267868"/>
                <a:pt x="299312" y="6676251"/>
                <a:pt x="326572" y="6939643"/>
              </a:cubicBezTo>
              <a:cubicBezTo>
                <a:pt x="181011" y="6948405"/>
                <a:pt x="102308" y="6918577"/>
                <a:pt x="0" y="6939643"/>
              </a:cubicBezTo>
              <a:cubicBezTo>
                <a:pt x="-30826" y="6749753"/>
                <a:pt x="39318" y="6521922"/>
                <a:pt x="0" y="6361339"/>
              </a:cubicBezTo>
              <a:cubicBezTo>
                <a:pt x="-39318" y="6200756"/>
                <a:pt x="22677" y="5982545"/>
                <a:pt x="0" y="5852432"/>
              </a:cubicBezTo>
              <a:cubicBezTo>
                <a:pt x="-22677" y="5722319"/>
                <a:pt x="33015" y="5648509"/>
                <a:pt x="0" y="5482318"/>
              </a:cubicBezTo>
              <a:cubicBezTo>
                <a:pt x="-33015" y="5316127"/>
                <a:pt x="27545" y="5157182"/>
                <a:pt x="0" y="5042807"/>
              </a:cubicBezTo>
              <a:cubicBezTo>
                <a:pt x="-27545" y="4928432"/>
                <a:pt x="51932" y="4727055"/>
                <a:pt x="0" y="4603297"/>
              </a:cubicBezTo>
              <a:cubicBezTo>
                <a:pt x="-51932" y="4479539"/>
                <a:pt x="35893" y="4240057"/>
                <a:pt x="0" y="4094389"/>
              </a:cubicBezTo>
              <a:cubicBezTo>
                <a:pt x="-35893" y="3948721"/>
                <a:pt x="12377" y="3606029"/>
                <a:pt x="0" y="3377293"/>
              </a:cubicBezTo>
              <a:cubicBezTo>
                <a:pt x="-12377" y="3148557"/>
                <a:pt x="57761" y="3029348"/>
                <a:pt x="0" y="2798989"/>
              </a:cubicBezTo>
              <a:cubicBezTo>
                <a:pt x="-57761" y="2568630"/>
                <a:pt x="10584" y="2457446"/>
                <a:pt x="0" y="2290082"/>
              </a:cubicBezTo>
              <a:cubicBezTo>
                <a:pt x="-10584" y="2122718"/>
                <a:pt x="22353" y="2104327"/>
                <a:pt x="0" y="1919968"/>
              </a:cubicBezTo>
              <a:cubicBezTo>
                <a:pt x="-22353" y="1735609"/>
                <a:pt x="6798" y="1679582"/>
                <a:pt x="0" y="1549854"/>
              </a:cubicBezTo>
              <a:cubicBezTo>
                <a:pt x="-6798" y="1420126"/>
                <a:pt x="50236" y="1205694"/>
                <a:pt x="0" y="902154"/>
              </a:cubicBezTo>
              <a:cubicBezTo>
                <a:pt x="-50236" y="598614"/>
                <a:pt x="77917" y="285221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20</xdr:col>
      <xdr:colOff>27214</xdr:colOff>
      <xdr:row>19</xdr:row>
      <xdr:rowOff>54429</xdr:rowOff>
    </xdr:from>
    <xdr:to>
      <xdr:col>24</xdr:col>
      <xdr:colOff>1</xdr:colOff>
      <xdr:row>50</xdr:row>
      <xdr:rowOff>13608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45723877-C912-BAF3-54B0-E82EFF0481FD}"/>
            </a:ext>
          </a:extLst>
        </xdr:cNvPr>
        <xdr:cNvSpPr/>
      </xdr:nvSpPr>
      <xdr:spPr>
        <a:xfrm>
          <a:off x="17526000" y="721179"/>
          <a:ext cx="3347358" cy="6286500"/>
        </a:xfrm>
        <a:custGeom>
          <a:avLst/>
          <a:gdLst>
            <a:gd name="connsiteX0" fmla="*/ 0 w 3347358"/>
            <a:gd name="connsiteY0" fmla="*/ 0 h 6286500"/>
            <a:gd name="connsiteX1" fmla="*/ 524419 w 3347358"/>
            <a:gd name="connsiteY1" fmla="*/ 0 h 6286500"/>
            <a:gd name="connsiteX2" fmla="*/ 981892 w 3347358"/>
            <a:gd name="connsiteY2" fmla="*/ 0 h 6286500"/>
            <a:gd name="connsiteX3" fmla="*/ 1606732 w 3347358"/>
            <a:gd name="connsiteY3" fmla="*/ 0 h 6286500"/>
            <a:gd name="connsiteX4" fmla="*/ 2131151 w 3347358"/>
            <a:gd name="connsiteY4" fmla="*/ 0 h 6286500"/>
            <a:gd name="connsiteX5" fmla="*/ 2655571 w 3347358"/>
            <a:gd name="connsiteY5" fmla="*/ 0 h 6286500"/>
            <a:gd name="connsiteX6" fmla="*/ 3347358 w 3347358"/>
            <a:gd name="connsiteY6" fmla="*/ 0 h 6286500"/>
            <a:gd name="connsiteX7" fmla="*/ 3347358 w 3347358"/>
            <a:gd name="connsiteY7" fmla="*/ 445770 h 6286500"/>
            <a:gd name="connsiteX8" fmla="*/ 3347358 w 3347358"/>
            <a:gd name="connsiteY8" fmla="*/ 1017270 h 6286500"/>
            <a:gd name="connsiteX9" fmla="*/ 3347358 w 3347358"/>
            <a:gd name="connsiteY9" fmla="*/ 1463040 h 6286500"/>
            <a:gd name="connsiteX10" fmla="*/ 3347358 w 3347358"/>
            <a:gd name="connsiteY10" fmla="*/ 1908810 h 6286500"/>
            <a:gd name="connsiteX11" fmla="*/ 3347358 w 3347358"/>
            <a:gd name="connsiteY11" fmla="*/ 2480310 h 6286500"/>
            <a:gd name="connsiteX12" fmla="*/ 3347358 w 3347358"/>
            <a:gd name="connsiteY12" fmla="*/ 3114675 h 6286500"/>
            <a:gd name="connsiteX13" fmla="*/ 3347358 w 3347358"/>
            <a:gd name="connsiteY13" fmla="*/ 3497580 h 6286500"/>
            <a:gd name="connsiteX14" fmla="*/ 3347358 w 3347358"/>
            <a:gd name="connsiteY14" fmla="*/ 4069080 h 6286500"/>
            <a:gd name="connsiteX15" fmla="*/ 3347358 w 3347358"/>
            <a:gd name="connsiteY15" fmla="*/ 4640580 h 6286500"/>
            <a:gd name="connsiteX16" fmla="*/ 3347358 w 3347358"/>
            <a:gd name="connsiteY16" fmla="*/ 5212080 h 6286500"/>
            <a:gd name="connsiteX17" fmla="*/ 3347358 w 3347358"/>
            <a:gd name="connsiteY17" fmla="*/ 6286500 h 6286500"/>
            <a:gd name="connsiteX18" fmla="*/ 2755991 w 3347358"/>
            <a:gd name="connsiteY18" fmla="*/ 6286500 h 6286500"/>
            <a:gd name="connsiteX19" fmla="*/ 2298519 w 3347358"/>
            <a:gd name="connsiteY19" fmla="*/ 6286500 h 6286500"/>
            <a:gd name="connsiteX20" fmla="*/ 1807573 w 3347358"/>
            <a:gd name="connsiteY20" fmla="*/ 6286500 h 6286500"/>
            <a:gd name="connsiteX21" fmla="*/ 1182733 w 3347358"/>
            <a:gd name="connsiteY21" fmla="*/ 6286500 h 6286500"/>
            <a:gd name="connsiteX22" fmla="*/ 624840 w 3347358"/>
            <a:gd name="connsiteY22" fmla="*/ 6286500 h 6286500"/>
            <a:gd name="connsiteX23" fmla="*/ 0 w 3347358"/>
            <a:gd name="connsiteY23" fmla="*/ 6286500 h 6286500"/>
            <a:gd name="connsiteX24" fmla="*/ 0 w 3347358"/>
            <a:gd name="connsiteY24" fmla="*/ 5715000 h 6286500"/>
            <a:gd name="connsiteX25" fmla="*/ 0 w 3347358"/>
            <a:gd name="connsiteY25" fmla="*/ 5332095 h 6286500"/>
            <a:gd name="connsiteX26" fmla="*/ 0 w 3347358"/>
            <a:gd name="connsiteY26" fmla="*/ 4949190 h 6286500"/>
            <a:gd name="connsiteX27" fmla="*/ 0 w 3347358"/>
            <a:gd name="connsiteY27" fmla="*/ 4314825 h 6286500"/>
            <a:gd name="connsiteX28" fmla="*/ 0 w 3347358"/>
            <a:gd name="connsiteY28" fmla="*/ 3869055 h 6286500"/>
            <a:gd name="connsiteX29" fmla="*/ 0 w 3347358"/>
            <a:gd name="connsiteY29" fmla="*/ 3171825 h 6286500"/>
            <a:gd name="connsiteX30" fmla="*/ 0 w 3347358"/>
            <a:gd name="connsiteY30" fmla="*/ 2663190 h 6286500"/>
            <a:gd name="connsiteX31" fmla="*/ 0 w 3347358"/>
            <a:gd name="connsiteY31" fmla="*/ 2280285 h 6286500"/>
            <a:gd name="connsiteX32" fmla="*/ 0 w 3347358"/>
            <a:gd name="connsiteY32" fmla="*/ 1645920 h 6286500"/>
            <a:gd name="connsiteX33" fmla="*/ 0 w 3347358"/>
            <a:gd name="connsiteY33" fmla="*/ 1200150 h 6286500"/>
            <a:gd name="connsiteX34" fmla="*/ 0 w 3347358"/>
            <a:gd name="connsiteY34" fmla="*/ 565785 h 6286500"/>
            <a:gd name="connsiteX35" fmla="*/ 0 w 3347358"/>
            <a:gd name="connsiteY35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16</xdr:col>
      <xdr:colOff>13607</xdr:colOff>
      <xdr:row>19</xdr:row>
      <xdr:rowOff>54429</xdr:rowOff>
    </xdr:from>
    <xdr:to>
      <xdr:col>18</xdr:col>
      <xdr:colOff>830036</xdr:colOff>
      <xdr:row>50</xdr:row>
      <xdr:rowOff>13608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94366F04-A4F9-BC3A-15FF-56F2DE01A5DE}"/>
            </a:ext>
          </a:extLst>
        </xdr:cNvPr>
        <xdr:cNvSpPr/>
      </xdr:nvSpPr>
      <xdr:spPr>
        <a:xfrm>
          <a:off x="14137821" y="721179"/>
          <a:ext cx="2503715" cy="6286500"/>
        </a:xfrm>
        <a:custGeom>
          <a:avLst/>
          <a:gdLst>
            <a:gd name="connsiteX0" fmla="*/ 0 w 2503715"/>
            <a:gd name="connsiteY0" fmla="*/ 0 h 6286500"/>
            <a:gd name="connsiteX1" fmla="*/ 475706 w 2503715"/>
            <a:gd name="connsiteY1" fmla="*/ 0 h 6286500"/>
            <a:gd name="connsiteX2" fmla="*/ 901337 w 2503715"/>
            <a:gd name="connsiteY2" fmla="*/ 0 h 6286500"/>
            <a:gd name="connsiteX3" fmla="*/ 1452155 w 2503715"/>
            <a:gd name="connsiteY3" fmla="*/ 0 h 6286500"/>
            <a:gd name="connsiteX4" fmla="*/ 1927861 w 2503715"/>
            <a:gd name="connsiteY4" fmla="*/ 0 h 6286500"/>
            <a:gd name="connsiteX5" fmla="*/ 2503715 w 2503715"/>
            <a:gd name="connsiteY5" fmla="*/ 0 h 6286500"/>
            <a:gd name="connsiteX6" fmla="*/ 2503715 w 2503715"/>
            <a:gd name="connsiteY6" fmla="*/ 697230 h 6286500"/>
            <a:gd name="connsiteX7" fmla="*/ 2503715 w 2503715"/>
            <a:gd name="connsiteY7" fmla="*/ 1268730 h 6286500"/>
            <a:gd name="connsiteX8" fmla="*/ 2503715 w 2503715"/>
            <a:gd name="connsiteY8" fmla="*/ 1840230 h 6286500"/>
            <a:gd name="connsiteX9" fmla="*/ 2503715 w 2503715"/>
            <a:gd name="connsiteY9" fmla="*/ 2286000 h 6286500"/>
            <a:gd name="connsiteX10" fmla="*/ 2503715 w 2503715"/>
            <a:gd name="connsiteY10" fmla="*/ 2731770 h 6286500"/>
            <a:gd name="connsiteX11" fmla="*/ 2503715 w 2503715"/>
            <a:gd name="connsiteY11" fmla="*/ 3303270 h 6286500"/>
            <a:gd name="connsiteX12" fmla="*/ 2503715 w 2503715"/>
            <a:gd name="connsiteY12" fmla="*/ 3937635 h 6286500"/>
            <a:gd name="connsiteX13" fmla="*/ 2503715 w 2503715"/>
            <a:gd name="connsiteY13" fmla="*/ 4320540 h 6286500"/>
            <a:gd name="connsiteX14" fmla="*/ 2503715 w 2503715"/>
            <a:gd name="connsiteY14" fmla="*/ 4892040 h 6286500"/>
            <a:gd name="connsiteX15" fmla="*/ 2503715 w 2503715"/>
            <a:gd name="connsiteY15" fmla="*/ 5463540 h 6286500"/>
            <a:gd name="connsiteX16" fmla="*/ 2503715 w 2503715"/>
            <a:gd name="connsiteY16" fmla="*/ 6286500 h 6286500"/>
            <a:gd name="connsiteX17" fmla="*/ 1977935 w 2503715"/>
            <a:gd name="connsiteY17" fmla="*/ 6286500 h 6286500"/>
            <a:gd name="connsiteX18" fmla="*/ 1477192 w 2503715"/>
            <a:gd name="connsiteY18" fmla="*/ 6286500 h 6286500"/>
            <a:gd name="connsiteX19" fmla="*/ 1051560 w 2503715"/>
            <a:gd name="connsiteY19" fmla="*/ 6286500 h 6286500"/>
            <a:gd name="connsiteX20" fmla="*/ 600892 w 2503715"/>
            <a:gd name="connsiteY20" fmla="*/ 6286500 h 6286500"/>
            <a:gd name="connsiteX21" fmla="*/ 0 w 2503715"/>
            <a:gd name="connsiteY21" fmla="*/ 6286500 h 6286500"/>
            <a:gd name="connsiteX22" fmla="*/ 0 w 2503715"/>
            <a:gd name="connsiteY22" fmla="*/ 5715000 h 6286500"/>
            <a:gd name="connsiteX23" fmla="*/ 0 w 2503715"/>
            <a:gd name="connsiteY23" fmla="*/ 5143500 h 6286500"/>
            <a:gd name="connsiteX24" fmla="*/ 0 w 2503715"/>
            <a:gd name="connsiteY24" fmla="*/ 4634865 h 6286500"/>
            <a:gd name="connsiteX25" fmla="*/ 0 w 2503715"/>
            <a:gd name="connsiteY25" fmla="*/ 4251960 h 6286500"/>
            <a:gd name="connsiteX26" fmla="*/ 0 w 2503715"/>
            <a:gd name="connsiteY26" fmla="*/ 3869055 h 6286500"/>
            <a:gd name="connsiteX27" fmla="*/ 0 w 2503715"/>
            <a:gd name="connsiteY27" fmla="*/ 3234690 h 6286500"/>
            <a:gd name="connsiteX28" fmla="*/ 0 w 2503715"/>
            <a:gd name="connsiteY28" fmla="*/ 2788920 h 6286500"/>
            <a:gd name="connsiteX29" fmla="*/ 0 w 2503715"/>
            <a:gd name="connsiteY29" fmla="*/ 2091690 h 6286500"/>
            <a:gd name="connsiteX30" fmla="*/ 0 w 2503715"/>
            <a:gd name="connsiteY30" fmla="*/ 1583055 h 6286500"/>
            <a:gd name="connsiteX31" fmla="*/ 0 w 2503715"/>
            <a:gd name="connsiteY31" fmla="*/ 1200150 h 6286500"/>
            <a:gd name="connsiteX32" fmla="*/ 0 w 2503715"/>
            <a:gd name="connsiteY32" fmla="*/ 565785 h 6286500"/>
            <a:gd name="connsiteX33" fmla="*/ 0 w 2503715"/>
            <a:gd name="connsiteY33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2503715" h="6286500" extrusionOk="0">
              <a:moveTo>
                <a:pt x="0" y="0"/>
              </a:moveTo>
              <a:cubicBezTo>
                <a:pt x="105776" y="-24654"/>
                <a:pt x="363426" y="46643"/>
                <a:pt x="475706" y="0"/>
              </a:cubicBezTo>
              <a:cubicBezTo>
                <a:pt x="587986" y="-46643"/>
                <a:pt x="739314" y="9808"/>
                <a:pt x="901337" y="0"/>
              </a:cubicBezTo>
              <a:cubicBezTo>
                <a:pt x="1063360" y="-9808"/>
                <a:pt x="1214743" y="26727"/>
                <a:pt x="1452155" y="0"/>
              </a:cubicBezTo>
              <a:cubicBezTo>
                <a:pt x="1689567" y="-26727"/>
                <a:pt x="1824954" y="14970"/>
                <a:pt x="1927861" y="0"/>
              </a:cubicBezTo>
              <a:cubicBezTo>
                <a:pt x="2030768" y="-14970"/>
                <a:pt x="2252742" y="67783"/>
                <a:pt x="2503715" y="0"/>
              </a:cubicBezTo>
              <a:cubicBezTo>
                <a:pt x="2561516" y="236774"/>
                <a:pt x="2443748" y="379978"/>
                <a:pt x="2503715" y="697230"/>
              </a:cubicBezTo>
              <a:cubicBezTo>
                <a:pt x="2563682" y="1014482"/>
                <a:pt x="2470966" y="1047831"/>
                <a:pt x="2503715" y="1268730"/>
              </a:cubicBezTo>
              <a:cubicBezTo>
                <a:pt x="2536464" y="1489629"/>
                <a:pt x="2459730" y="1596526"/>
                <a:pt x="2503715" y="1840230"/>
              </a:cubicBezTo>
              <a:cubicBezTo>
                <a:pt x="2547700" y="2083934"/>
                <a:pt x="2489279" y="2165070"/>
                <a:pt x="2503715" y="2286000"/>
              </a:cubicBezTo>
              <a:cubicBezTo>
                <a:pt x="2518151" y="2406930"/>
                <a:pt x="2466513" y="2547980"/>
                <a:pt x="2503715" y="2731770"/>
              </a:cubicBezTo>
              <a:cubicBezTo>
                <a:pt x="2540917" y="2915560"/>
                <a:pt x="2500004" y="3062549"/>
                <a:pt x="2503715" y="3303270"/>
              </a:cubicBezTo>
              <a:cubicBezTo>
                <a:pt x="2507426" y="3543991"/>
                <a:pt x="2485967" y="3671147"/>
                <a:pt x="2503715" y="3937635"/>
              </a:cubicBezTo>
              <a:cubicBezTo>
                <a:pt x="2521463" y="4204123"/>
                <a:pt x="2503148" y="4170083"/>
                <a:pt x="2503715" y="4320540"/>
              </a:cubicBezTo>
              <a:cubicBezTo>
                <a:pt x="2504282" y="4470997"/>
                <a:pt x="2439276" y="4723248"/>
                <a:pt x="2503715" y="4892040"/>
              </a:cubicBezTo>
              <a:cubicBezTo>
                <a:pt x="2568154" y="5060832"/>
                <a:pt x="2489008" y="5286080"/>
                <a:pt x="2503715" y="5463540"/>
              </a:cubicBezTo>
              <a:cubicBezTo>
                <a:pt x="2518422" y="5641000"/>
                <a:pt x="2471636" y="5985300"/>
                <a:pt x="2503715" y="6286500"/>
              </a:cubicBezTo>
              <a:cubicBezTo>
                <a:pt x="2294111" y="6293661"/>
                <a:pt x="2123355" y="6229838"/>
                <a:pt x="1977935" y="6286500"/>
              </a:cubicBezTo>
              <a:cubicBezTo>
                <a:pt x="1832515" y="6343162"/>
                <a:pt x="1672955" y="6270789"/>
                <a:pt x="1477192" y="6286500"/>
              </a:cubicBezTo>
              <a:cubicBezTo>
                <a:pt x="1281429" y="6302211"/>
                <a:pt x="1248281" y="6257165"/>
                <a:pt x="1051560" y="6286500"/>
              </a:cubicBezTo>
              <a:cubicBezTo>
                <a:pt x="854839" y="6315835"/>
                <a:pt x="821968" y="6283759"/>
                <a:pt x="600892" y="6286500"/>
              </a:cubicBezTo>
              <a:cubicBezTo>
                <a:pt x="379816" y="6289241"/>
                <a:pt x="236937" y="6252697"/>
                <a:pt x="0" y="6286500"/>
              </a:cubicBezTo>
              <a:cubicBezTo>
                <a:pt x="-56413" y="6167002"/>
                <a:pt x="19429" y="5855876"/>
                <a:pt x="0" y="5715000"/>
              </a:cubicBezTo>
              <a:cubicBezTo>
                <a:pt x="-19429" y="5574124"/>
                <a:pt x="2824" y="5390350"/>
                <a:pt x="0" y="5143500"/>
              </a:cubicBezTo>
              <a:cubicBezTo>
                <a:pt x="-2824" y="4896650"/>
                <a:pt x="9913" y="4875610"/>
                <a:pt x="0" y="4634865"/>
              </a:cubicBezTo>
              <a:cubicBezTo>
                <a:pt x="-9913" y="4394120"/>
                <a:pt x="39273" y="4387171"/>
                <a:pt x="0" y="4251960"/>
              </a:cubicBezTo>
              <a:cubicBezTo>
                <a:pt x="-39273" y="4116749"/>
                <a:pt x="31527" y="4005286"/>
                <a:pt x="0" y="3869055"/>
              </a:cubicBezTo>
              <a:cubicBezTo>
                <a:pt x="-31527" y="3732824"/>
                <a:pt x="58008" y="3488460"/>
                <a:pt x="0" y="3234690"/>
              </a:cubicBezTo>
              <a:cubicBezTo>
                <a:pt x="-58008" y="2980921"/>
                <a:pt x="39942" y="2922359"/>
                <a:pt x="0" y="2788920"/>
              </a:cubicBezTo>
              <a:cubicBezTo>
                <a:pt x="-39942" y="2655481"/>
                <a:pt x="20769" y="2245092"/>
                <a:pt x="0" y="2091690"/>
              </a:cubicBezTo>
              <a:cubicBezTo>
                <a:pt x="-20769" y="1938288"/>
                <a:pt x="2969" y="1774731"/>
                <a:pt x="0" y="1583055"/>
              </a:cubicBezTo>
              <a:cubicBezTo>
                <a:pt x="-2969" y="1391380"/>
                <a:pt x="4819" y="1377758"/>
                <a:pt x="0" y="1200150"/>
              </a:cubicBezTo>
              <a:cubicBezTo>
                <a:pt x="-4819" y="1022542"/>
                <a:pt x="22982" y="740971"/>
                <a:pt x="0" y="565785"/>
              </a:cubicBezTo>
              <a:cubicBezTo>
                <a:pt x="-22982" y="390599"/>
                <a:pt x="106" y="180495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3</xdr:col>
      <xdr:colOff>0</xdr:colOff>
      <xdr:row>19</xdr:row>
      <xdr:rowOff>54429</xdr:rowOff>
    </xdr:from>
    <xdr:to>
      <xdr:col>6</xdr:col>
      <xdr:colOff>816429</xdr:colOff>
      <xdr:row>50</xdr:row>
      <xdr:rowOff>13608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1692E300-A927-74E1-E223-EB84A08FA82B}"/>
            </a:ext>
          </a:extLst>
        </xdr:cNvPr>
        <xdr:cNvSpPr/>
      </xdr:nvSpPr>
      <xdr:spPr>
        <a:xfrm>
          <a:off x="3143250" y="721179"/>
          <a:ext cx="3347358" cy="6286500"/>
        </a:xfrm>
        <a:custGeom>
          <a:avLst/>
          <a:gdLst>
            <a:gd name="connsiteX0" fmla="*/ 0 w 3347358"/>
            <a:gd name="connsiteY0" fmla="*/ 0 h 6286500"/>
            <a:gd name="connsiteX1" fmla="*/ 524419 w 3347358"/>
            <a:gd name="connsiteY1" fmla="*/ 0 h 6286500"/>
            <a:gd name="connsiteX2" fmla="*/ 981892 w 3347358"/>
            <a:gd name="connsiteY2" fmla="*/ 0 h 6286500"/>
            <a:gd name="connsiteX3" fmla="*/ 1606732 w 3347358"/>
            <a:gd name="connsiteY3" fmla="*/ 0 h 6286500"/>
            <a:gd name="connsiteX4" fmla="*/ 2131151 w 3347358"/>
            <a:gd name="connsiteY4" fmla="*/ 0 h 6286500"/>
            <a:gd name="connsiteX5" fmla="*/ 2655571 w 3347358"/>
            <a:gd name="connsiteY5" fmla="*/ 0 h 6286500"/>
            <a:gd name="connsiteX6" fmla="*/ 3347358 w 3347358"/>
            <a:gd name="connsiteY6" fmla="*/ 0 h 6286500"/>
            <a:gd name="connsiteX7" fmla="*/ 3347358 w 3347358"/>
            <a:gd name="connsiteY7" fmla="*/ 445770 h 6286500"/>
            <a:gd name="connsiteX8" fmla="*/ 3347358 w 3347358"/>
            <a:gd name="connsiteY8" fmla="*/ 1017270 h 6286500"/>
            <a:gd name="connsiteX9" fmla="*/ 3347358 w 3347358"/>
            <a:gd name="connsiteY9" fmla="*/ 1463040 h 6286500"/>
            <a:gd name="connsiteX10" fmla="*/ 3347358 w 3347358"/>
            <a:gd name="connsiteY10" fmla="*/ 1908810 h 6286500"/>
            <a:gd name="connsiteX11" fmla="*/ 3347358 w 3347358"/>
            <a:gd name="connsiteY11" fmla="*/ 2480310 h 6286500"/>
            <a:gd name="connsiteX12" fmla="*/ 3347358 w 3347358"/>
            <a:gd name="connsiteY12" fmla="*/ 3114675 h 6286500"/>
            <a:gd name="connsiteX13" fmla="*/ 3347358 w 3347358"/>
            <a:gd name="connsiteY13" fmla="*/ 3497580 h 6286500"/>
            <a:gd name="connsiteX14" fmla="*/ 3347358 w 3347358"/>
            <a:gd name="connsiteY14" fmla="*/ 4069080 h 6286500"/>
            <a:gd name="connsiteX15" fmla="*/ 3347358 w 3347358"/>
            <a:gd name="connsiteY15" fmla="*/ 4640580 h 6286500"/>
            <a:gd name="connsiteX16" fmla="*/ 3347358 w 3347358"/>
            <a:gd name="connsiteY16" fmla="*/ 5212080 h 6286500"/>
            <a:gd name="connsiteX17" fmla="*/ 3347358 w 3347358"/>
            <a:gd name="connsiteY17" fmla="*/ 6286500 h 6286500"/>
            <a:gd name="connsiteX18" fmla="*/ 2755991 w 3347358"/>
            <a:gd name="connsiteY18" fmla="*/ 6286500 h 6286500"/>
            <a:gd name="connsiteX19" fmla="*/ 2298519 w 3347358"/>
            <a:gd name="connsiteY19" fmla="*/ 6286500 h 6286500"/>
            <a:gd name="connsiteX20" fmla="*/ 1807573 w 3347358"/>
            <a:gd name="connsiteY20" fmla="*/ 6286500 h 6286500"/>
            <a:gd name="connsiteX21" fmla="*/ 1182733 w 3347358"/>
            <a:gd name="connsiteY21" fmla="*/ 6286500 h 6286500"/>
            <a:gd name="connsiteX22" fmla="*/ 624840 w 3347358"/>
            <a:gd name="connsiteY22" fmla="*/ 6286500 h 6286500"/>
            <a:gd name="connsiteX23" fmla="*/ 0 w 3347358"/>
            <a:gd name="connsiteY23" fmla="*/ 6286500 h 6286500"/>
            <a:gd name="connsiteX24" fmla="*/ 0 w 3347358"/>
            <a:gd name="connsiteY24" fmla="*/ 5715000 h 6286500"/>
            <a:gd name="connsiteX25" fmla="*/ 0 w 3347358"/>
            <a:gd name="connsiteY25" fmla="*/ 5332095 h 6286500"/>
            <a:gd name="connsiteX26" fmla="*/ 0 w 3347358"/>
            <a:gd name="connsiteY26" fmla="*/ 4949190 h 6286500"/>
            <a:gd name="connsiteX27" fmla="*/ 0 w 3347358"/>
            <a:gd name="connsiteY27" fmla="*/ 4314825 h 6286500"/>
            <a:gd name="connsiteX28" fmla="*/ 0 w 3347358"/>
            <a:gd name="connsiteY28" fmla="*/ 3869055 h 6286500"/>
            <a:gd name="connsiteX29" fmla="*/ 0 w 3347358"/>
            <a:gd name="connsiteY29" fmla="*/ 3171825 h 6286500"/>
            <a:gd name="connsiteX30" fmla="*/ 0 w 3347358"/>
            <a:gd name="connsiteY30" fmla="*/ 2663190 h 6286500"/>
            <a:gd name="connsiteX31" fmla="*/ 0 w 3347358"/>
            <a:gd name="connsiteY31" fmla="*/ 2280285 h 6286500"/>
            <a:gd name="connsiteX32" fmla="*/ 0 w 3347358"/>
            <a:gd name="connsiteY32" fmla="*/ 1645920 h 6286500"/>
            <a:gd name="connsiteX33" fmla="*/ 0 w 3347358"/>
            <a:gd name="connsiteY33" fmla="*/ 1200150 h 6286500"/>
            <a:gd name="connsiteX34" fmla="*/ 0 w 3347358"/>
            <a:gd name="connsiteY34" fmla="*/ 565785 h 6286500"/>
            <a:gd name="connsiteX35" fmla="*/ 0 w 3347358"/>
            <a:gd name="connsiteY35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21</xdr:col>
      <xdr:colOff>421821</xdr:colOff>
      <xdr:row>51</xdr:row>
      <xdr:rowOff>21981</xdr:rowOff>
    </xdr:from>
    <xdr:to>
      <xdr:col>21</xdr:col>
      <xdr:colOff>421821</xdr:colOff>
      <xdr:row>54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4847A02-ACF0-48AE-8724-ACC4BC570ACB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54</xdr:row>
      <xdr:rowOff>95250</xdr:rowOff>
    </xdr:from>
    <xdr:to>
      <xdr:col>22</xdr:col>
      <xdr:colOff>1</xdr:colOff>
      <xdr:row>54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DD8296F-98C8-429D-BF38-E059D9D3FAF3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51</xdr:row>
      <xdr:rowOff>21666</xdr:rowOff>
    </xdr:from>
    <xdr:to>
      <xdr:col>20</xdr:col>
      <xdr:colOff>455237</xdr:colOff>
      <xdr:row>53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CAE54C6-5712-4EA8-AB66-C6570755C11A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51</xdr:row>
      <xdr:rowOff>22411</xdr:rowOff>
    </xdr:from>
    <xdr:to>
      <xdr:col>16</xdr:col>
      <xdr:colOff>392206</xdr:colOff>
      <xdr:row>53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8C4A7A2-B413-4EA3-9E45-B8F8A6EA86CC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176892</xdr:colOff>
      <xdr:row>58</xdr:row>
      <xdr:rowOff>1</xdr:rowOff>
    </xdr:from>
    <xdr:to>
      <xdr:col>2</xdr:col>
      <xdr:colOff>462642</xdr:colOff>
      <xdr:row>62</xdr:row>
      <xdr:rowOff>68037</xdr:rowOff>
    </xdr:to>
    <xdr:sp macro="" textlink="">
      <xdr:nvSpPr>
        <xdr:cNvPr id="6" name="Balão de Fala: Retângulo 5">
          <a:extLst>
            <a:ext uri="{FF2B5EF4-FFF2-40B4-BE49-F238E27FC236}">
              <a16:creationId xmlns:a16="http://schemas.microsoft.com/office/drawing/2014/main" id="{8C3F4363-7030-FF7A-B0E0-8998EDF6CC39}"/>
            </a:ext>
          </a:extLst>
        </xdr:cNvPr>
        <xdr:cNvSpPr/>
      </xdr:nvSpPr>
      <xdr:spPr>
        <a:xfrm>
          <a:off x="176892" y="11361965"/>
          <a:ext cx="2667000" cy="816429"/>
        </a:xfrm>
        <a:prstGeom prst="wedgeRectCallout">
          <a:avLst>
            <a:gd name="adj1" fmla="val 38502"/>
            <a:gd name="adj2" fmla="val 105001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 tabela de marcação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manual não tem automação, servindo apenas para anotações.</a:t>
          </a:r>
        </a:p>
      </xdr:txBody>
    </xdr:sp>
    <xdr:clientData/>
  </xdr:twoCellAnchor>
  <xdr:twoCellAnchor>
    <xdr:from>
      <xdr:col>0</xdr:col>
      <xdr:colOff>27214</xdr:colOff>
      <xdr:row>7</xdr:row>
      <xdr:rowOff>149677</xdr:rowOff>
    </xdr:from>
    <xdr:to>
      <xdr:col>1</xdr:col>
      <xdr:colOff>830036</xdr:colOff>
      <xdr:row>14</xdr:row>
      <xdr:rowOff>27213</xdr:rowOff>
    </xdr:to>
    <xdr:sp macro="" textlink="">
      <xdr:nvSpPr>
        <xdr:cNvPr id="10" name="Balão de Pensamento: Nuvem 9">
          <a:extLst>
            <a:ext uri="{FF2B5EF4-FFF2-40B4-BE49-F238E27FC236}">
              <a16:creationId xmlns:a16="http://schemas.microsoft.com/office/drawing/2014/main" id="{1EF33590-A142-0FE6-B9B0-C5FFCCE96AFE}"/>
            </a:ext>
          </a:extLst>
        </xdr:cNvPr>
        <xdr:cNvSpPr/>
      </xdr:nvSpPr>
      <xdr:spPr>
        <a:xfrm>
          <a:off x="27214" y="1197427"/>
          <a:ext cx="1673679" cy="925286"/>
        </a:xfrm>
        <a:prstGeom prst="cloudCallout">
          <a:avLst>
            <a:gd name="adj1" fmla="val 5790"/>
            <a:gd name="adj2" fmla="val 102500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11</xdr:col>
      <xdr:colOff>217715</xdr:colOff>
      <xdr:row>9</xdr:row>
      <xdr:rowOff>68036</xdr:rowOff>
    </xdr:from>
    <xdr:to>
      <xdr:col>13</xdr:col>
      <xdr:colOff>530679</xdr:colOff>
      <xdr:row>16</xdr:row>
      <xdr:rowOff>13607</xdr:rowOff>
    </xdr:to>
    <xdr:sp macro="" textlink="">
      <xdr:nvSpPr>
        <xdr:cNvPr id="13" name="Balão de Pensamento: Nuvem 12">
          <a:extLst>
            <a:ext uri="{FF2B5EF4-FFF2-40B4-BE49-F238E27FC236}">
              <a16:creationId xmlns:a16="http://schemas.microsoft.com/office/drawing/2014/main" id="{F968DE4B-6BE5-BFE9-A79F-925826922E8B}"/>
            </a:ext>
          </a:extLst>
        </xdr:cNvPr>
        <xdr:cNvSpPr/>
      </xdr:nvSpPr>
      <xdr:spPr>
        <a:xfrm>
          <a:off x="10110108" y="1415143"/>
          <a:ext cx="2000250" cy="993321"/>
        </a:xfrm>
        <a:prstGeom prst="cloudCallout">
          <a:avLst>
            <a:gd name="adj1" fmla="val -57712"/>
            <a:gd name="adj2" fmla="val 73279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Colunas auxiliares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ficam ocultas.</a:t>
          </a:r>
        </a:p>
      </xdr:txBody>
    </xdr:sp>
    <xdr:clientData/>
  </xdr:twoCellAnchor>
  <xdr:twoCellAnchor>
    <xdr:from>
      <xdr:col>1</xdr:col>
      <xdr:colOff>244926</xdr:colOff>
      <xdr:row>50</xdr:row>
      <xdr:rowOff>176894</xdr:rowOff>
    </xdr:from>
    <xdr:to>
      <xdr:col>4</xdr:col>
      <xdr:colOff>544286</xdr:colOff>
      <xdr:row>55</xdr:row>
      <xdr:rowOff>27215</xdr:rowOff>
    </xdr:to>
    <xdr:sp macro="" textlink="">
      <xdr:nvSpPr>
        <xdr:cNvPr id="17" name="Balão de Fala: Retângulo 16">
          <a:extLst>
            <a:ext uri="{FF2B5EF4-FFF2-40B4-BE49-F238E27FC236}">
              <a16:creationId xmlns:a16="http://schemas.microsoft.com/office/drawing/2014/main" id="{17F8D2CD-293D-C0F0-8F5C-8175ED3C9A56}"/>
            </a:ext>
          </a:extLst>
        </xdr:cNvPr>
        <xdr:cNvSpPr/>
      </xdr:nvSpPr>
      <xdr:spPr>
        <a:xfrm>
          <a:off x="1115783" y="9878787"/>
          <a:ext cx="3415396" cy="938892"/>
        </a:xfrm>
        <a:prstGeom prst="wedgeRectCallout">
          <a:avLst>
            <a:gd name="adj1" fmla="val 37607"/>
            <a:gd name="adj2" fmla="val -21157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amarelas com escrita vermelha indicam erro 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nunca devem aparecer.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 ocorrerem, algo no lançamento precisa ser corrigido.</a:t>
          </a:r>
        </a:p>
      </xdr:txBody>
    </xdr:sp>
    <xdr:clientData/>
  </xdr:twoCellAnchor>
  <xdr:twoCellAnchor>
    <xdr:from>
      <xdr:col>15</xdr:col>
      <xdr:colOff>435429</xdr:colOff>
      <xdr:row>47</xdr:row>
      <xdr:rowOff>122465</xdr:rowOff>
    </xdr:from>
    <xdr:to>
      <xdr:col>16</xdr:col>
      <xdr:colOff>27215</xdr:colOff>
      <xdr:row>50</xdr:row>
      <xdr:rowOff>68036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7D59C244-4EE5-D074-61DA-13F71D369F8D}"/>
            </a:ext>
          </a:extLst>
        </xdr:cNvPr>
        <xdr:cNvCxnSpPr/>
      </xdr:nvCxnSpPr>
      <xdr:spPr>
        <a:xfrm flipH="1">
          <a:off x="13716000" y="9212036"/>
          <a:ext cx="435429" cy="5578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12</xdr:col>
      <xdr:colOff>462643</xdr:colOff>
      <xdr:row>63</xdr:row>
      <xdr:rowOff>95250</xdr:rowOff>
    </xdr:from>
    <xdr:to>
      <xdr:col>16</xdr:col>
      <xdr:colOff>585108</xdr:colOff>
      <xdr:row>68</xdr:row>
      <xdr:rowOff>190501</xdr:rowOff>
    </xdr:to>
    <xdr:sp macro="" textlink="">
      <xdr:nvSpPr>
        <xdr:cNvPr id="55" name="Balão de Fala: Retângulo 54">
          <a:extLst>
            <a:ext uri="{FF2B5EF4-FFF2-40B4-BE49-F238E27FC236}">
              <a16:creationId xmlns:a16="http://schemas.microsoft.com/office/drawing/2014/main" id="{A794C0E8-940D-03EE-A58B-4C974A437A6B}"/>
            </a:ext>
          </a:extLst>
        </xdr:cNvPr>
        <xdr:cNvSpPr/>
      </xdr:nvSpPr>
      <xdr:spPr>
        <a:xfrm>
          <a:off x="11198679" y="12396107"/>
          <a:ext cx="3510643" cy="1102180"/>
        </a:xfrm>
        <a:prstGeom prst="wedgeRectCallout">
          <a:avLst>
            <a:gd name="adj1" fmla="val 20817"/>
            <a:gd name="adj2" fmla="val -164283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acompanha todos os totais de horas por tipo de tratamento, bem como os saldos dos Bancos de Horas mensais e de feriados e o saldo livre total do mês (de todos os créditos e débitos de horas).</a:t>
          </a:r>
        </a:p>
      </xdr:txBody>
    </xdr:sp>
    <xdr:clientData/>
  </xdr:twoCellAnchor>
  <xdr:twoCellAnchor>
    <xdr:from>
      <xdr:col>12</xdr:col>
      <xdr:colOff>462642</xdr:colOff>
      <xdr:row>50</xdr:row>
      <xdr:rowOff>122463</xdr:rowOff>
    </xdr:from>
    <xdr:to>
      <xdr:col>14</xdr:col>
      <xdr:colOff>680357</xdr:colOff>
      <xdr:row>53</xdr:row>
      <xdr:rowOff>68035</xdr:rowOff>
    </xdr:to>
    <xdr:sp macro="" textlink="">
      <xdr:nvSpPr>
        <xdr:cNvPr id="56" name="Balão de Fala: Retângulo 55">
          <a:extLst>
            <a:ext uri="{FF2B5EF4-FFF2-40B4-BE49-F238E27FC236}">
              <a16:creationId xmlns:a16="http://schemas.microsoft.com/office/drawing/2014/main" id="{9C0F11AC-9689-6B43-27C8-7050137A8072}"/>
            </a:ext>
          </a:extLst>
        </xdr:cNvPr>
        <xdr:cNvSpPr/>
      </xdr:nvSpPr>
      <xdr:spPr>
        <a:xfrm>
          <a:off x="11198678" y="9824356"/>
          <a:ext cx="1918608" cy="653143"/>
        </a:xfrm>
        <a:prstGeom prst="wedgeRectCallout">
          <a:avLst>
            <a:gd name="adj1" fmla="val 111487"/>
            <a:gd name="adj2" fmla="val 70586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mensal</a:t>
          </a:r>
        </a:p>
      </xdr:txBody>
    </xdr:sp>
    <xdr:clientData/>
  </xdr:twoCellAnchor>
  <xdr:twoCellAnchor>
    <xdr:from>
      <xdr:col>24</xdr:col>
      <xdr:colOff>149679</xdr:colOff>
      <xdr:row>50</xdr:row>
      <xdr:rowOff>299357</xdr:rowOff>
    </xdr:from>
    <xdr:to>
      <xdr:col>25</xdr:col>
      <xdr:colOff>1687287</xdr:colOff>
      <xdr:row>54</xdr:row>
      <xdr:rowOff>13607</xdr:rowOff>
    </xdr:to>
    <xdr:sp macro="" textlink="">
      <xdr:nvSpPr>
        <xdr:cNvPr id="57" name="Balão de Fala: Retângulo 56">
          <a:extLst>
            <a:ext uri="{FF2B5EF4-FFF2-40B4-BE49-F238E27FC236}">
              <a16:creationId xmlns:a16="http://schemas.microsoft.com/office/drawing/2014/main" id="{7BD03363-0AFE-3D07-149A-63C237154D1C}"/>
            </a:ext>
          </a:extLst>
        </xdr:cNvPr>
        <xdr:cNvSpPr/>
      </xdr:nvSpPr>
      <xdr:spPr>
        <a:xfrm>
          <a:off x="21023036" y="10001250"/>
          <a:ext cx="1918608" cy="612321"/>
        </a:xfrm>
        <a:prstGeom prst="wedgeRectCallout">
          <a:avLst>
            <a:gd name="adj1" fmla="val -106954"/>
            <a:gd name="adj2" fmla="val 59337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de feriados</a:t>
          </a:r>
        </a:p>
      </xdr:txBody>
    </xdr:sp>
    <xdr:clientData/>
  </xdr:twoCellAnchor>
  <xdr:twoCellAnchor>
    <xdr:from>
      <xdr:col>20</xdr:col>
      <xdr:colOff>353786</xdr:colOff>
      <xdr:row>62</xdr:row>
      <xdr:rowOff>54429</xdr:rowOff>
    </xdr:from>
    <xdr:to>
      <xdr:col>23</xdr:col>
      <xdr:colOff>435431</xdr:colOff>
      <xdr:row>67</xdr:row>
      <xdr:rowOff>54429</xdr:rowOff>
    </xdr:to>
    <xdr:sp macro="" textlink="">
      <xdr:nvSpPr>
        <xdr:cNvPr id="58" name="Balão de Fala: Retângulo 57">
          <a:extLst>
            <a:ext uri="{FF2B5EF4-FFF2-40B4-BE49-F238E27FC236}">
              <a16:creationId xmlns:a16="http://schemas.microsoft.com/office/drawing/2014/main" id="{E2FCB6F3-71F9-0D25-80CD-D8028D01026B}"/>
            </a:ext>
          </a:extLst>
        </xdr:cNvPr>
        <xdr:cNvSpPr/>
      </xdr:nvSpPr>
      <xdr:spPr>
        <a:xfrm>
          <a:off x="17852572" y="12164786"/>
          <a:ext cx="2612573" cy="993322"/>
        </a:xfrm>
        <a:prstGeom prst="wedgeRectCallout">
          <a:avLst>
            <a:gd name="adj1" fmla="val -15521"/>
            <a:gd name="adj2" fmla="val -195720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Banco de Horas de feriados pega o valor acumulado e desconta as horas de CRE2 feitas no mês.</a:t>
          </a:r>
        </a:p>
      </xdr:txBody>
    </xdr:sp>
    <xdr:clientData/>
  </xdr:twoCellAnchor>
  <xdr:twoCellAnchor>
    <xdr:from>
      <xdr:col>3</xdr:col>
      <xdr:colOff>449036</xdr:colOff>
      <xdr:row>10</xdr:row>
      <xdr:rowOff>136071</xdr:rowOff>
    </xdr:from>
    <xdr:to>
      <xdr:col>6</xdr:col>
      <xdr:colOff>204106</xdr:colOff>
      <xdr:row>17</xdr:row>
      <xdr:rowOff>122464</xdr:rowOff>
    </xdr:to>
    <xdr:sp macro="" textlink="">
      <xdr:nvSpPr>
        <xdr:cNvPr id="60" name="Balão de Pensamento: Nuvem 59">
          <a:extLst>
            <a:ext uri="{FF2B5EF4-FFF2-40B4-BE49-F238E27FC236}">
              <a16:creationId xmlns:a16="http://schemas.microsoft.com/office/drawing/2014/main" id="{B15672D5-4037-9886-297D-54004EE101EA}"/>
            </a:ext>
          </a:extLst>
        </xdr:cNvPr>
        <xdr:cNvSpPr/>
      </xdr:nvSpPr>
      <xdr:spPr>
        <a:xfrm>
          <a:off x="3592286" y="1632857"/>
          <a:ext cx="2285999" cy="1034143"/>
        </a:xfrm>
        <a:prstGeom prst="cloudCallout">
          <a:avLst>
            <a:gd name="adj1" fmla="val 5552"/>
            <a:gd name="adj2" fmla="val 112408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insere os seus pontos como estão no SAP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</a:p>
      </xdr:txBody>
    </xdr:sp>
    <xdr:clientData/>
  </xdr:twoCellAnchor>
  <xdr:twoCellAnchor>
    <xdr:from>
      <xdr:col>18</xdr:col>
      <xdr:colOff>816428</xdr:colOff>
      <xdr:row>10</xdr:row>
      <xdr:rowOff>95252</xdr:rowOff>
    </xdr:from>
    <xdr:to>
      <xdr:col>21</xdr:col>
      <xdr:colOff>571498</xdr:colOff>
      <xdr:row>17</xdr:row>
      <xdr:rowOff>81645</xdr:rowOff>
    </xdr:to>
    <xdr:sp macro="" textlink="">
      <xdr:nvSpPr>
        <xdr:cNvPr id="64" name="Nuvem 63">
          <a:extLst>
            <a:ext uri="{FF2B5EF4-FFF2-40B4-BE49-F238E27FC236}">
              <a16:creationId xmlns:a16="http://schemas.microsoft.com/office/drawing/2014/main" id="{6F80845C-4ECA-4F44-0773-031456E915B1}"/>
            </a:ext>
          </a:extLst>
        </xdr:cNvPr>
        <xdr:cNvSpPr/>
      </xdr:nvSpPr>
      <xdr:spPr>
        <a:xfrm>
          <a:off x="16627928" y="1592038"/>
          <a:ext cx="2285999" cy="1034143"/>
        </a:xfrm>
        <a:prstGeom prst="cloud">
          <a:avLst/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negativas.</a:t>
          </a:r>
          <a:endParaRPr lang="pt-BR" sz="1400" kern="1200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421821</xdr:colOff>
      <xdr:row>51</xdr:row>
      <xdr:rowOff>21981</xdr:rowOff>
    </xdr:from>
    <xdr:to>
      <xdr:col>21</xdr:col>
      <xdr:colOff>421821</xdr:colOff>
      <xdr:row>54</xdr:row>
      <xdr:rowOff>95250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B35FBE8C-3989-4CB9-8129-80E95552DB32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54</xdr:row>
      <xdr:rowOff>95250</xdr:rowOff>
    </xdr:from>
    <xdr:to>
      <xdr:col>22</xdr:col>
      <xdr:colOff>1</xdr:colOff>
      <xdr:row>54</xdr:row>
      <xdr:rowOff>95250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3F2BEB76-30FC-4818-B441-D1D5657EC9C4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51</xdr:row>
      <xdr:rowOff>21666</xdr:rowOff>
    </xdr:from>
    <xdr:to>
      <xdr:col>20</xdr:col>
      <xdr:colOff>455237</xdr:colOff>
      <xdr:row>53</xdr:row>
      <xdr:rowOff>3183</xdr:rowOff>
    </xdr:to>
    <xdr:cxnSp macro="">
      <xdr:nvCxnSpPr>
        <xdr:cNvPr id="11" name="Conector: Angulado 10">
          <a:extLst>
            <a:ext uri="{FF2B5EF4-FFF2-40B4-BE49-F238E27FC236}">
              <a16:creationId xmlns:a16="http://schemas.microsoft.com/office/drawing/2014/main" id="{FD8FBD76-4938-474E-B2AB-07DD6ED52A59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51</xdr:row>
      <xdr:rowOff>22411</xdr:rowOff>
    </xdr:from>
    <xdr:to>
      <xdr:col>16</xdr:col>
      <xdr:colOff>392206</xdr:colOff>
      <xdr:row>53</xdr:row>
      <xdr:rowOff>8282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9C5D09E3-FADB-4096-928A-AAF371508452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707572</xdr:colOff>
      <xdr:row>62</xdr:row>
      <xdr:rowOff>176893</xdr:rowOff>
    </xdr:from>
    <xdr:to>
      <xdr:col>20</xdr:col>
      <xdr:colOff>190500</xdr:colOff>
      <xdr:row>66</xdr:row>
      <xdr:rowOff>176894</xdr:rowOff>
    </xdr:to>
    <xdr:sp macro="" textlink="">
      <xdr:nvSpPr>
        <xdr:cNvPr id="20" name="Balão de Fala: Retângulo 19">
          <a:extLst>
            <a:ext uri="{FF2B5EF4-FFF2-40B4-BE49-F238E27FC236}">
              <a16:creationId xmlns:a16="http://schemas.microsoft.com/office/drawing/2014/main" id="{9B344B88-84D9-39CD-128A-25D04F0537C5}"/>
            </a:ext>
          </a:extLst>
        </xdr:cNvPr>
        <xdr:cNvSpPr/>
      </xdr:nvSpPr>
      <xdr:spPr>
        <a:xfrm>
          <a:off x="14831786" y="9579429"/>
          <a:ext cx="2857500" cy="762001"/>
        </a:xfrm>
        <a:prstGeom prst="wedgeRectCallout">
          <a:avLst>
            <a:gd name="adj1" fmla="val -8678"/>
            <a:gd name="adj2" fmla="val -173485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livre total do mês (de todos os créditos e débitos de horas com exceção de ABNO e NAUT).</a:t>
          </a:r>
        </a:p>
      </xdr:txBody>
    </xdr:sp>
    <xdr:clientData/>
  </xdr:twoCellAnchor>
  <xdr:twoCellAnchor>
    <xdr:from>
      <xdr:col>19</xdr:col>
      <xdr:colOff>68036</xdr:colOff>
      <xdr:row>47</xdr:row>
      <xdr:rowOff>190500</xdr:rowOff>
    </xdr:from>
    <xdr:to>
      <xdr:col>19</xdr:col>
      <xdr:colOff>394607</xdr:colOff>
      <xdr:row>50</xdr:row>
      <xdr:rowOff>81643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D192B7FF-F6E2-8F77-F7D6-168AC5CE28FE}"/>
            </a:ext>
          </a:extLst>
        </xdr:cNvPr>
        <xdr:cNvCxnSpPr/>
      </xdr:nvCxnSpPr>
      <xdr:spPr>
        <a:xfrm>
          <a:off x="16723179" y="9280071"/>
          <a:ext cx="326571" cy="50346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15</xdr:col>
      <xdr:colOff>367394</xdr:colOff>
      <xdr:row>44</xdr:row>
      <xdr:rowOff>136070</xdr:rowOff>
    </xdr:from>
    <xdr:to>
      <xdr:col>19</xdr:col>
      <xdr:colOff>449037</xdr:colOff>
      <xdr:row>48</xdr:row>
      <xdr:rowOff>136069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13B81B5F-0F18-6787-49FF-694CCBBB444A}"/>
            </a:ext>
          </a:extLst>
        </xdr:cNvPr>
        <xdr:cNvSpPr/>
      </xdr:nvSpPr>
      <xdr:spPr>
        <a:xfrm>
          <a:off x="13647965" y="8613320"/>
          <a:ext cx="3456215" cy="81642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Ao fim do mês, é esperado que todos os tempos estejam tratados, assim esses valores serão 00:00:00.</a:t>
          </a:r>
        </a:p>
      </xdr:txBody>
    </xdr:sp>
    <xdr:clientData/>
  </xdr:twoCellAnchor>
  <xdr:twoCellAnchor>
    <xdr:from>
      <xdr:col>10</xdr:col>
      <xdr:colOff>775607</xdr:colOff>
      <xdr:row>54</xdr:row>
      <xdr:rowOff>27215</xdr:rowOff>
    </xdr:from>
    <xdr:to>
      <xdr:col>14</xdr:col>
      <xdr:colOff>489857</xdr:colOff>
      <xdr:row>62</xdr:row>
      <xdr:rowOff>81643</xdr:rowOff>
    </xdr:to>
    <xdr:sp macro="" textlink="">
      <xdr:nvSpPr>
        <xdr:cNvPr id="30" name="Balão de Fala: Retângulo 29">
          <a:extLst>
            <a:ext uri="{FF2B5EF4-FFF2-40B4-BE49-F238E27FC236}">
              <a16:creationId xmlns:a16="http://schemas.microsoft.com/office/drawing/2014/main" id="{72FD016B-2109-C7E8-3043-43273CC5D35A}"/>
            </a:ext>
          </a:extLst>
        </xdr:cNvPr>
        <xdr:cNvSpPr/>
      </xdr:nvSpPr>
      <xdr:spPr>
        <a:xfrm>
          <a:off x="9824357" y="10627179"/>
          <a:ext cx="3102429" cy="1564821"/>
        </a:xfrm>
        <a:prstGeom prst="wedgeRectCallout">
          <a:avLst>
            <a:gd name="adj1" fmla="val -1337"/>
            <a:gd name="adj2" fmla="val -78972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saber se já colocou CRE1 suficiente para compensar o CPHM do mês.</a:t>
          </a:r>
        </a:p>
        <a:p>
          <a:pPr algn="ctr"/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_Tenho CRE1 suficiente para compensar minhas ausências?</a:t>
          </a:r>
        </a:p>
      </xdr:txBody>
    </xdr:sp>
    <xdr:clientData/>
  </xdr:twoCellAnchor>
  <xdr:twoCellAnchor>
    <xdr:from>
      <xdr:col>17</xdr:col>
      <xdr:colOff>27214</xdr:colOff>
      <xdr:row>68</xdr:row>
      <xdr:rowOff>95251</xdr:rowOff>
    </xdr:from>
    <xdr:to>
      <xdr:col>24</xdr:col>
      <xdr:colOff>367393</xdr:colOff>
      <xdr:row>76</xdr:row>
      <xdr:rowOff>136073</xdr:rowOff>
    </xdr:to>
    <xdr:sp macro="" textlink="">
      <xdr:nvSpPr>
        <xdr:cNvPr id="31" name="Balão de Fala: Retângulo 30">
          <a:extLst>
            <a:ext uri="{FF2B5EF4-FFF2-40B4-BE49-F238E27FC236}">
              <a16:creationId xmlns:a16="http://schemas.microsoft.com/office/drawing/2014/main" id="{37E726C4-A899-8CC5-D16D-3D0411B38350}"/>
            </a:ext>
          </a:extLst>
        </xdr:cNvPr>
        <xdr:cNvSpPr/>
      </xdr:nvSpPr>
      <xdr:spPr>
        <a:xfrm>
          <a:off x="14995071" y="13403037"/>
          <a:ext cx="6245679" cy="1564822"/>
        </a:xfrm>
        <a:prstGeom prst="wedgeRectCallout">
          <a:avLst>
            <a:gd name="adj1" fmla="val -15390"/>
            <a:gd name="adj2" fmla="val -7643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ter controle das horas positivas e negativas que possui enquanto preenche a planilha (durante o mês), pois haverá tempos tratados e não tratados simultaneamente. Ele indica visualmente se você precisa trabalhar para compensar algo.</a:t>
          </a:r>
        </a:p>
        <a:p>
          <a:pPr algn="ctr"/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_Preciso fazer hora extra para compensar alguma coisa?</a:t>
          </a:r>
        </a:p>
      </xdr:txBody>
    </xdr:sp>
    <xdr:clientData/>
  </xdr:twoCellAnchor>
  <xdr:twoCellAnchor>
    <xdr:from>
      <xdr:col>22</xdr:col>
      <xdr:colOff>816429</xdr:colOff>
      <xdr:row>54</xdr:row>
      <xdr:rowOff>149678</xdr:rowOff>
    </xdr:from>
    <xdr:to>
      <xdr:col>25</xdr:col>
      <xdr:colOff>54429</xdr:colOff>
      <xdr:row>62</xdr:row>
      <xdr:rowOff>68035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F12DF319-C0CA-17F4-A6EC-EE8AAA02A338}"/>
            </a:ext>
          </a:extLst>
        </xdr:cNvPr>
        <xdr:cNvCxnSpPr/>
      </xdr:nvCxnSpPr>
      <xdr:spPr>
        <a:xfrm flipH="1" flipV="1">
          <a:off x="20002500" y="8041821"/>
          <a:ext cx="1306286" cy="14287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20</xdr:col>
      <xdr:colOff>666750</xdr:colOff>
      <xdr:row>58</xdr:row>
      <xdr:rowOff>122464</xdr:rowOff>
    </xdr:from>
    <xdr:to>
      <xdr:col>24</xdr:col>
      <xdr:colOff>258536</xdr:colOff>
      <xdr:row>62</xdr:row>
      <xdr:rowOff>176892</xdr:rowOff>
    </xdr:to>
    <xdr:cxnSp macro="">
      <xdr:nvCxnSpPr>
        <xdr:cNvPr id="40" name="Conector de Seta Reta 39">
          <a:extLst>
            <a:ext uri="{FF2B5EF4-FFF2-40B4-BE49-F238E27FC236}">
              <a16:creationId xmlns:a16="http://schemas.microsoft.com/office/drawing/2014/main" id="{C36F0FD2-4D04-7607-AD5E-88D9868963A7}"/>
            </a:ext>
          </a:extLst>
        </xdr:cNvPr>
        <xdr:cNvCxnSpPr/>
      </xdr:nvCxnSpPr>
      <xdr:spPr>
        <a:xfrm flipH="1" flipV="1">
          <a:off x="18165536" y="8776607"/>
          <a:ext cx="2966357" cy="802821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18</xdr:col>
      <xdr:colOff>653142</xdr:colOff>
      <xdr:row>54</xdr:row>
      <xdr:rowOff>68035</xdr:rowOff>
    </xdr:from>
    <xdr:to>
      <xdr:col>24</xdr:col>
      <xdr:colOff>312964</xdr:colOff>
      <xdr:row>62</xdr:row>
      <xdr:rowOff>108857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18B6E195-2841-2A41-A9EE-D381043CCA27}"/>
            </a:ext>
          </a:extLst>
        </xdr:cNvPr>
        <xdr:cNvCxnSpPr/>
      </xdr:nvCxnSpPr>
      <xdr:spPr>
        <a:xfrm flipH="1" flipV="1">
          <a:off x="16464642" y="7960178"/>
          <a:ext cx="4721679" cy="15512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24</xdr:col>
      <xdr:colOff>149678</xdr:colOff>
      <xdr:row>62</xdr:row>
      <xdr:rowOff>27212</xdr:rowOff>
    </xdr:from>
    <xdr:to>
      <xdr:col>25</xdr:col>
      <xdr:colOff>4054929</xdr:colOff>
      <xdr:row>67</xdr:row>
      <xdr:rowOff>68035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7BB6E7A-571D-49F6-1A25-09E2CB985431}"/>
            </a:ext>
          </a:extLst>
        </xdr:cNvPr>
        <xdr:cNvSpPr/>
      </xdr:nvSpPr>
      <xdr:spPr>
        <a:xfrm>
          <a:off x="21023035" y="9429748"/>
          <a:ext cx="4286251" cy="99332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Quando estes valores ficarem: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Zerado: o saldo está equilibrado (tudo OK);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Verde: há horas positivas sobrando (tudo OK);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- Vermelho: ainda há horas a serem compensadas.</a:t>
          </a:r>
        </a:p>
      </xdr:txBody>
    </xdr:sp>
    <xdr:clientData/>
  </xdr:twoCellAnchor>
  <xdr:twoCellAnchor>
    <xdr:from>
      <xdr:col>20</xdr:col>
      <xdr:colOff>816426</xdr:colOff>
      <xdr:row>23</xdr:row>
      <xdr:rowOff>40820</xdr:rowOff>
    </xdr:from>
    <xdr:to>
      <xdr:col>24</xdr:col>
      <xdr:colOff>122464</xdr:colOff>
      <xdr:row>30</xdr:row>
      <xdr:rowOff>136071</xdr:rowOff>
    </xdr:to>
    <xdr:sp macro="" textlink="">
      <xdr:nvSpPr>
        <xdr:cNvPr id="34" name="Retângulo: Canto Dobrado 33">
          <a:extLst>
            <a:ext uri="{FF2B5EF4-FFF2-40B4-BE49-F238E27FC236}">
              <a16:creationId xmlns:a16="http://schemas.microsoft.com/office/drawing/2014/main" id="{07AE8C48-029A-4D59-8299-7B2096BBF29B}"/>
            </a:ext>
          </a:extLst>
        </xdr:cNvPr>
        <xdr:cNvSpPr/>
      </xdr:nvSpPr>
      <xdr:spPr>
        <a:xfrm>
          <a:off x="18315212" y="4231820"/>
          <a:ext cx="2680609" cy="1524001"/>
        </a:xfrm>
        <a:prstGeom prst="foldedCorner">
          <a:avLst>
            <a:gd name="adj" fmla="val 28794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Selecione a célula de origem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Ctrl+C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Selecione a célula de destino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Ctrl+V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Em seguida, separadamente: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V</a:t>
          </a:r>
        </a:p>
      </xdr:txBody>
    </xdr:sp>
    <xdr:clientData/>
  </xdr:twoCellAnchor>
  <xdr:twoCellAnchor>
    <xdr:from>
      <xdr:col>2</xdr:col>
      <xdr:colOff>544286</xdr:colOff>
      <xdr:row>15</xdr:row>
      <xdr:rowOff>108857</xdr:rowOff>
    </xdr:from>
    <xdr:to>
      <xdr:col>3</xdr:col>
      <xdr:colOff>149679</xdr:colOff>
      <xdr:row>24</xdr:row>
      <xdr:rowOff>163286</xdr:rowOff>
    </xdr:to>
    <xdr:cxnSp macro="">
      <xdr:nvCxnSpPr>
        <xdr:cNvPr id="29" name="Conector de Seta Reta 28">
          <a:extLst>
            <a:ext uri="{FF2B5EF4-FFF2-40B4-BE49-F238E27FC236}">
              <a16:creationId xmlns:a16="http://schemas.microsoft.com/office/drawing/2014/main" id="{23FA13C0-37B0-A72F-EEB9-1917EFE88B3A}"/>
            </a:ext>
          </a:extLst>
        </xdr:cNvPr>
        <xdr:cNvCxnSpPr/>
      </xdr:nvCxnSpPr>
      <xdr:spPr>
        <a:xfrm>
          <a:off x="2925536" y="2354036"/>
          <a:ext cx="367393" cy="2204357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</xdr:col>
      <xdr:colOff>789212</xdr:colOff>
      <xdr:row>12</xdr:row>
      <xdr:rowOff>27216</xdr:rowOff>
    </xdr:from>
    <xdr:to>
      <xdr:col>3</xdr:col>
      <xdr:colOff>353784</xdr:colOff>
      <xdr:row>17</xdr:row>
      <xdr:rowOff>40823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4167CFD1-0338-5C6C-B83E-0C4AED1C8D79}"/>
            </a:ext>
          </a:extLst>
        </xdr:cNvPr>
        <xdr:cNvSpPr/>
      </xdr:nvSpPr>
      <xdr:spPr>
        <a:xfrm>
          <a:off x="1660069" y="1823359"/>
          <a:ext cx="1836965" cy="762000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que células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preenchidas fiquem coloridas</a:t>
          </a:r>
        </a:p>
      </xdr:txBody>
    </xdr:sp>
    <xdr:clientData/>
  </xdr:twoCellAnchor>
  <xdr:twoCellAnchor>
    <xdr:from>
      <xdr:col>20</xdr:col>
      <xdr:colOff>176893</xdr:colOff>
      <xdr:row>25</xdr:row>
      <xdr:rowOff>149679</xdr:rowOff>
    </xdr:from>
    <xdr:to>
      <xdr:col>21</xdr:col>
      <xdr:colOff>54428</xdr:colOff>
      <xdr:row>33</xdr:row>
      <xdr:rowOff>108858</xdr:rowOff>
    </xdr:to>
    <xdr:cxnSp macro="">
      <xdr:nvCxnSpPr>
        <xdr:cNvPr id="38" name="Conector de Seta Reta 37">
          <a:extLst>
            <a:ext uri="{FF2B5EF4-FFF2-40B4-BE49-F238E27FC236}">
              <a16:creationId xmlns:a16="http://schemas.microsoft.com/office/drawing/2014/main" id="{24535AFB-6300-4247-98BE-C53B5CC92964}"/>
            </a:ext>
          </a:extLst>
        </xdr:cNvPr>
        <xdr:cNvCxnSpPr/>
      </xdr:nvCxnSpPr>
      <xdr:spPr>
        <a:xfrm flipH="1">
          <a:off x="17675679" y="4748893"/>
          <a:ext cx="721178" cy="1592036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21</xdr:col>
      <xdr:colOff>721179</xdr:colOff>
      <xdr:row>10</xdr:row>
      <xdr:rowOff>95251</xdr:rowOff>
    </xdr:from>
    <xdr:to>
      <xdr:col>25</xdr:col>
      <xdr:colOff>95250</xdr:colOff>
      <xdr:row>17</xdr:row>
      <xdr:rowOff>81644</xdr:rowOff>
    </xdr:to>
    <xdr:sp macro="" textlink="">
      <xdr:nvSpPr>
        <xdr:cNvPr id="62" name="Balão de Pensamento: Nuvem 61">
          <a:extLst>
            <a:ext uri="{FF2B5EF4-FFF2-40B4-BE49-F238E27FC236}">
              <a16:creationId xmlns:a16="http://schemas.microsoft.com/office/drawing/2014/main" id="{29F813B9-1153-78D9-6C59-2AE28367A6FC}"/>
            </a:ext>
          </a:extLst>
        </xdr:cNvPr>
        <xdr:cNvSpPr/>
      </xdr:nvSpPr>
      <xdr:spPr>
        <a:xfrm>
          <a:off x="19063608" y="1592037"/>
          <a:ext cx="2285999" cy="1034143"/>
        </a:xfrm>
        <a:prstGeom prst="cloudCallout">
          <a:avLst>
            <a:gd name="adj1" fmla="val -7542"/>
            <a:gd name="adj2" fmla="val 115039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positivas.</a:t>
          </a:r>
        </a:p>
      </xdr:txBody>
    </xdr:sp>
    <xdr:clientData/>
  </xdr:twoCellAnchor>
  <xdr:twoCellAnchor>
    <xdr:from>
      <xdr:col>25</xdr:col>
      <xdr:colOff>1238251</xdr:colOff>
      <xdr:row>56</xdr:row>
      <xdr:rowOff>108858</xdr:rowOff>
    </xdr:from>
    <xdr:to>
      <xdr:col>26</xdr:col>
      <xdr:colOff>299357</xdr:colOff>
      <xdr:row>59</xdr:row>
      <xdr:rowOff>108857</xdr:rowOff>
    </xdr:to>
    <xdr:sp macro="" textlink="">
      <xdr:nvSpPr>
        <xdr:cNvPr id="25" name="Balão de Fala: Retângulo 24">
          <a:extLst>
            <a:ext uri="{FF2B5EF4-FFF2-40B4-BE49-F238E27FC236}">
              <a16:creationId xmlns:a16="http://schemas.microsoft.com/office/drawing/2014/main" id="{11984ABA-5E28-322B-E528-2D9D33F750D3}"/>
            </a:ext>
          </a:extLst>
        </xdr:cNvPr>
        <xdr:cNvSpPr/>
      </xdr:nvSpPr>
      <xdr:spPr>
        <a:xfrm>
          <a:off x="22492608" y="11089822"/>
          <a:ext cx="3333749" cy="571499"/>
        </a:xfrm>
        <a:prstGeom prst="wedgeRectCallout">
          <a:avLst>
            <a:gd name="adj1" fmla="val -39787"/>
            <a:gd name="adj2" fmla="val -15161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Este valor responde: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_Compensei todo o CRE2 que preciso?</a:t>
          </a:r>
        </a:p>
      </xdr:txBody>
    </xdr:sp>
    <xdr:clientData/>
  </xdr:twoCellAnchor>
  <xdr:twoCellAnchor>
    <xdr:from>
      <xdr:col>6</xdr:col>
      <xdr:colOff>653142</xdr:colOff>
      <xdr:row>13</xdr:row>
      <xdr:rowOff>108858</xdr:rowOff>
    </xdr:from>
    <xdr:to>
      <xdr:col>7</xdr:col>
      <xdr:colOff>81643</xdr:colOff>
      <xdr:row>27</xdr:row>
      <xdr:rowOff>108857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E55AC3C4-DD68-7A9C-061D-32EC6ACC931B}"/>
            </a:ext>
          </a:extLst>
        </xdr:cNvPr>
        <xdr:cNvCxnSpPr/>
      </xdr:nvCxnSpPr>
      <xdr:spPr>
        <a:xfrm flipH="1">
          <a:off x="6327321" y="2054679"/>
          <a:ext cx="272143" cy="3061607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10</xdr:col>
      <xdr:colOff>625929</xdr:colOff>
      <xdr:row>9</xdr:row>
      <xdr:rowOff>108857</xdr:rowOff>
    </xdr:from>
    <xdr:to>
      <xdr:col>11</xdr:col>
      <xdr:colOff>163286</xdr:colOff>
      <xdr:row>27</xdr:row>
      <xdr:rowOff>95250</xdr:rowOff>
    </xdr:to>
    <xdr:cxnSp macro="">
      <xdr:nvCxnSpPr>
        <xdr:cNvPr id="48" name="Conector de Seta Reta 47">
          <a:extLst>
            <a:ext uri="{FF2B5EF4-FFF2-40B4-BE49-F238E27FC236}">
              <a16:creationId xmlns:a16="http://schemas.microsoft.com/office/drawing/2014/main" id="{85A3BE26-575F-BE08-FEA9-B24BD4775A06}"/>
            </a:ext>
          </a:extLst>
        </xdr:cNvPr>
        <xdr:cNvCxnSpPr/>
      </xdr:nvCxnSpPr>
      <xdr:spPr>
        <a:xfrm>
          <a:off x="9674679" y="1455964"/>
          <a:ext cx="381000" cy="36467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7</xdr:col>
      <xdr:colOff>789216</xdr:colOff>
      <xdr:row>6</xdr:row>
      <xdr:rowOff>95250</xdr:rowOff>
    </xdr:from>
    <xdr:to>
      <xdr:col>10</xdr:col>
      <xdr:colOff>775607</xdr:colOff>
      <xdr:row>11</xdr:row>
      <xdr:rowOff>95250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459F5FEA-4878-07B8-0828-039767F069DF}"/>
            </a:ext>
          </a:extLst>
        </xdr:cNvPr>
        <xdr:cNvSpPr/>
      </xdr:nvSpPr>
      <xdr:spPr>
        <a:xfrm>
          <a:off x="7307037" y="993321"/>
          <a:ext cx="2517320" cy="74839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com essa coloração de cinza claro não são feitas para serem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alteradas.</a:t>
          </a:r>
        </a:p>
      </xdr:txBody>
    </xdr:sp>
    <xdr:clientData/>
  </xdr:twoCellAnchor>
  <xdr:twoCellAnchor>
    <xdr:from>
      <xdr:col>6</xdr:col>
      <xdr:colOff>789215</xdr:colOff>
      <xdr:row>12</xdr:row>
      <xdr:rowOff>40820</xdr:rowOff>
    </xdr:from>
    <xdr:to>
      <xdr:col>9</xdr:col>
      <xdr:colOff>775607</xdr:colOff>
      <xdr:row>17</xdr:row>
      <xdr:rowOff>40820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52671E5D-2DE7-5B13-CEB6-7F075BB4BEE1}"/>
            </a:ext>
          </a:extLst>
        </xdr:cNvPr>
        <xdr:cNvSpPr/>
      </xdr:nvSpPr>
      <xdr:spPr>
        <a:xfrm>
          <a:off x="6463394" y="1836963"/>
          <a:ext cx="2517320" cy="748393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Já as células brancas (ou com cores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de dias especiais) </a:t>
          </a:r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podem ser preenchidas.</a:t>
          </a:r>
        </a:p>
      </xdr:txBody>
    </xdr:sp>
    <xdr:clientData/>
  </xdr:twoCellAnchor>
  <xdr:twoCellAnchor>
    <xdr:from>
      <xdr:col>18</xdr:col>
      <xdr:colOff>530680</xdr:colOff>
      <xdr:row>8</xdr:row>
      <xdr:rowOff>122464</xdr:rowOff>
    </xdr:from>
    <xdr:to>
      <xdr:col>18</xdr:col>
      <xdr:colOff>530680</xdr:colOff>
      <xdr:row>18</xdr:row>
      <xdr:rowOff>68037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65001FF9-AC87-D004-0E52-ECC287B81E72}"/>
            </a:ext>
          </a:extLst>
        </xdr:cNvPr>
        <xdr:cNvCxnSpPr/>
      </xdr:nvCxnSpPr>
      <xdr:spPr>
        <a:xfrm flipH="1">
          <a:off x="16342180" y="1319893"/>
          <a:ext cx="0" cy="145596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18</xdr:col>
      <xdr:colOff>421823</xdr:colOff>
      <xdr:row>1</xdr:row>
      <xdr:rowOff>122463</xdr:rowOff>
    </xdr:from>
    <xdr:to>
      <xdr:col>21</xdr:col>
      <xdr:colOff>462642</xdr:colOff>
      <xdr:row>9</xdr:row>
      <xdr:rowOff>68035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5E1972E5-1F14-97CB-86BC-C6C381C96C74}"/>
            </a:ext>
          </a:extLst>
        </xdr:cNvPr>
        <xdr:cNvSpPr/>
      </xdr:nvSpPr>
      <xdr:spPr>
        <a:xfrm>
          <a:off x="16233323" y="272142"/>
          <a:ext cx="2571748" cy="1143000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DICA: Você pode colocar aqui outros tipos de abono, como o ABNO, que é o Abono Gerencial, ou o ENF1, que é o abono por licença médica.</a:t>
          </a:r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27</xdr:col>
      <xdr:colOff>244930</xdr:colOff>
      <xdr:row>39</xdr:row>
      <xdr:rowOff>95254</xdr:rowOff>
    </xdr:from>
    <xdr:to>
      <xdr:col>35</xdr:col>
      <xdr:colOff>163286</xdr:colOff>
      <xdr:row>43</xdr:row>
      <xdr:rowOff>68039</xdr:rowOff>
    </xdr:to>
    <xdr:sp macro="" textlink="">
      <xdr:nvSpPr>
        <xdr:cNvPr id="78" name="Balão de Fala: Retângulo 77">
          <a:extLst>
            <a:ext uri="{FF2B5EF4-FFF2-40B4-BE49-F238E27FC236}">
              <a16:creationId xmlns:a16="http://schemas.microsoft.com/office/drawing/2014/main" id="{D1D180F7-6F35-4EB3-9DF5-3F3A5FAE5E8C}"/>
            </a:ext>
          </a:extLst>
        </xdr:cNvPr>
        <xdr:cNvSpPr/>
      </xdr:nvSpPr>
      <xdr:spPr>
        <a:xfrm>
          <a:off x="26493109" y="7551968"/>
          <a:ext cx="4816927" cy="789214"/>
        </a:xfrm>
        <a:prstGeom prst="wedgeRectCallout">
          <a:avLst>
            <a:gd name="adj1" fmla="val -75587"/>
            <a:gd name="adj2" fmla="val 255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Termine de preencher. Ou você preenche apenas Entrada e Saída, ou todos os 4 horários, ou nenhum deles.</a:t>
          </a:r>
        </a:p>
      </xdr:txBody>
    </xdr:sp>
    <xdr:clientData/>
  </xdr:twoCellAnchor>
  <xdr:twoCellAnchor>
    <xdr:from>
      <xdr:col>25</xdr:col>
      <xdr:colOff>3660321</xdr:colOff>
      <xdr:row>48</xdr:row>
      <xdr:rowOff>176894</xdr:rowOff>
    </xdr:from>
    <xdr:to>
      <xdr:col>30</xdr:col>
      <xdr:colOff>326572</xdr:colOff>
      <xdr:row>54</xdr:row>
      <xdr:rowOff>13608</xdr:rowOff>
    </xdr:to>
    <xdr:sp macro="" textlink="">
      <xdr:nvSpPr>
        <xdr:cNvPr id="79" name="Balão de Fala: Retângulo 78">
          <a:extLst>
            <a:ext uri="{FF2B5EF4-FFF2-40B4-BE49-F238E27FC236}">
              <a16:creationId xmlns:a16="http://schemas.microsoft.com/office/drawing/2014/main" id="{6DE85E40-2F88-4807-8DEB-BFCE84CB37DB}"/>
            </a:ext>
          </a:extLst>
        </xdr:cNvPr>
        <xdr:cNvSpPr/>
      </xdr:nvSpPr>
      <xdr:spPr>
        <a:xfrm>
          <a:off x="24914678" y="9470573"/>
          <a:ext cx="3497037" cy="1142999"/>
        </a:xfrm>
        <a:prstGeom prst="wedgeRectCallout">
          <a:avLst>
            <a:gd name="adj1" fmla="val -39328"/>
            <a:gd name="adj2" fmla="val -144474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SAP não corrige o almoço automaticamente nos fins de semana, é necessário tratar o ponto quando se faz menos de 1h de almoço em dias assim.</a:t>
          </a:r>
        </a:p>
      </xdr:txBody>
    </xdr:sp>
    <xdr:clientData/>
  </xdr:twoCellAnchor>
  <xdr:twoCellAnchor>
    <xdr:from>
      <xdr:col>28</xdr:col>
      <xdr:colOff>54432</xdr:colOff>
      <xdr:row>43</xdr:row>
      <xdr:rowOff>149682</xdr:rowOff>
    </xdr:from>
    <xdr:to>
      <xdr:col>34</xdr:col>
      <xdr:colOff>285752</xdr:colOff>
      <xdr:row>48</xdr:row>
      <xdr:rowOff>54431</xdr:rowOff>
    </xdr:to>
    <xdr:sp macro="" textlink="">
      <xdr:nvSpPr>
        <xdr:cNvPr id="80" name="Balão de Fala: Retângulo 79">
          <a:extLst>
            <a:ext uri="{FF2B5EF4-FFF2-40B4-BE49-F238E27FC236}">
              <a16:creationId xmlns:a16="http://schemas.microsoft.com/office/drawing/2014/main" id="{C6F7B123-82EF-48ED-98C1-F5088B9943A3}"/>
            </a:ext>
          </a:extLst>
        </xdr:cNvPr>
        <xdr:cNvSpPr/>
      </xdr:nvSpPr>
      <xdr:spPr>
        <a:xfrm>
          <a:off x="26914932" y="8422825"/>
          <a:ext cx="3905249" cy="925285"/>
        </a:xfrm>
        <a:prstGeom prst="wedgeRectCallout">
          <a:avLst>
            <a:gd name="adj1" fmla="val -91170"/>
            <a:gd name="adj2" fmla="val -76582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 soma dos tempos nas colunas de tratamento não pode superar o total de horas a tratar calculadas pela planilha em um dia trabalhado.</a:t>
          </a:r>
        </a:p>
      </xdr:txBody>
    </xdr:sp>
    <xdr:clientData/>
  </xdr:twoCellAnchor>
  <xdr:twoCellAnchor>
    <xdr:from>
      <xdr:col>27</xdr:col>
      <xdr:colOff>68040</xdr:colOff>
      <xdr:row>36</xdr:row>
      <xdr:rowOff>81643</xdr:rowOff>
    </xdr:from>
    <xdr:to>
      <xdr:col>29</xdr:col>
      <xdr:colOff>557897</xdr:colOff>
      <xdr:row>38</xdr:row>
      <xdr:rowOff>190500</xdr:rowOff>
    </xdr:to>
    <xdr:sp macro="" textlink="">
      <xdr:nvSpPr>
        <xdr:cNvPr id="81" name="Balão de Fala: Retângulo 80">
          <a:extLst>
            <a:ext uri="{FF2B5EF4-FFF2-40B4-BE49-F238E27FC236}">
              <a16:creationId xmlns:a16="http://schemas.microsoft.com/office/drawing/2014/main" id="{ED16B62A-64BE-4BA3-988E-50D1411C82C7}"/>
            </a:ext>
          </a:extLst>
        </xdr:cNvPr>
        <xdr:cNvSpPr/>
      </xdr:nvSpPr>
      <xdr:spPr>
        <a:xfrm>
          <a:off x="26316219" y="6926036"/>
          <a:ext cx="1714499" cy="517071"/>
        </a:xfrm>
        <a:prstGeom prst="wedgeRectCallout">
          <a:avLst>
            <a:gd name="adj1" fmla="val -114206"/>
            <a:gd name="adj2" fmla="val 11389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Retirar marcação.</a:t>
          </a:r>
        </a:p>
      </xdr:txBody>
    </xdr:sp>
    <xdr:clientData/>
  </xdr:twoCellAnchor>
  <xdr:twoCellAnchor>
    <xdr:from>
      <xdr:col>17</xdr:col>
      <xdr:colOff>653143</xdr:colOff>
      <xdr:row>16</xdr:row>
      <xdr:rowOff>122464</xdr:rowOff>
    </xdr:from>
    <xdr:to>
      <xdr:col>19</xdr:col>
      <xdr:colOff>149678</xdr:colOff>
      <xdr:row>31</xdr:row>
      <xdr:rowOff>122464</xdr:rowOff>
    </xdr:to>
    <xdr:cxnSp macro="">
      <xdr:nvCxnSpPr>
        <xdr:cNvPr id="83" name="Conector de Seta Reta 82">
          <a:extLst>
            <a:ext uri="{FF2B5EF4-FFF2-40B4-BE49-F238E27FC236}">
              <a16:creationId xmlns:a16="http://schemas.microsoft.com/office/drawing/2014/main" id="{E1F35FE5-F9B2-6AA2-83F9-828667ADC178}"/>
            </a:ext>
          </a:extLst>
        </xdr:cNvPr>
        <xdr:cNvCxnSpPr/>
      </xdr:nvCxnSpPr>
      <xdr:spPr>
        <a:xfrm>
          <a:off x="15621000" y="2517321"/>
          <a:ext cx="1183821" cy="342900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14</xdr:col>
      <xdr:colOff>789214</xdr:colOff>
      <xdr:row>16</xdr:row>
      <xdr:rowOff>122464</xdr:rowOff>
    </xdr:from>
    <xdr:to>
      <xdr:col>15</xdr:col>
      <xdr:colOff>149679</xdr:colOff>
      <xdr:row>32</xdr:row>
      <xdr:rowOff>95250</xdr:rowOff>
    </xdr:to>
    <xdr:cxnSp macro="">
      <xdr:nvCxnSpPr>
        <xdr:cNvPr id="85" name="Conector de Seta Reta 84">
          <a:extLst>
            <a:ext uri="{FF2B5EF4-FFF2-40B4-BE49-F238E27FC236}">
              <a16:creationId xmlns:a16="http://schemas.microsoft.com/office/drawing/2014/main" id="{36D6DDB1-18F6-1E16-A6D0-D30034E25338}"/>
            </a:ext>
          </a:extLst>
        </xdr:cNvPr>
        <xdr:cNvCxnSpPr/>
      </xdr:nvCxnSpPr>
      <xdr:spPr>
        <a:xfrm>
          <a:off x="13226143" y="2517321"/>
          <a:ext cx="204107" cy="36058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14</xdr:col>
      <xdr:colOff>158052</xdr:colOff>
      <xdr:row>9</xdr:row>
      <xdr:rowOff>81643</xdr:rowOff>
    </xdr:from>
    <xdr:to>
      <xdr:col>18</xdr:col>
      <xdr:colOff>294124</xdr:colOff>
      <xdr:row>17</xdr:row>
      <xdr:rowOff>40821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55CA7B1D-E9FF-799E-CDEB-51B3FC9E0C46}"/>
            </a:ext>
          </a:extLst>
        </xdr:cNvPr>
        <xdr:cNvSpPr/>
      </xdr:nvSpPr>
      <xdr:spPr>
        <a:xfrm>
          <a:off x="12594981" y="1428750"/>
          <a:ext cx="3510643" cy="115660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Sempre que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houver algum tempo ainda não tratado, ele será destacado de vermelho (negativo) ou verde (positivo).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esses valores sumirem quando você os trata nas colunas de tratamento.</a:t>
          </a:r>
        </a:p>
      </xdr:txBody>
    </xdr:sp>
    <xdr:clientData/>
  </xdr:twoCellAnchor>
  <xdr:twoCellAnchor>
    <xdr:from>
      <xdr:col>16</xdr:col>
      <xdr:colOff>775607</xdr:colOff>
      <xdr:row>33</xdr:row>
      <xdr:rowOff>136072</xdr:rowOff>
    </xdr:from>
    <xdr:to>
      <xdr:col>17</xdr:col>
      <xdr:colOff>653143</xdr:colOff>
      <xdr:row>37</xdr:row>
      <xdr:rowOff>40821</xdr:rowOff>
    </xdr:to>
    <xdr:cxnSp macro="">
      <xdr:nvCxnSpPr>
        <xdr:cNvPr id="97" name="Conector de Seta Reta 96">
          <a:extLst>
            <a:ext uri="{FF2B5EF4-FFF2-40B4-BE49-F238E27FC236}">
              <a16:creationId xmlns:a16="http://schemas.microsoft.com/office/drawing/2014/main" id="{7794594B-EFFE-BB40-7955-22F58172DA91}"/>
            </a:ext>
          </a:extLst>
        </xdr:cNvPr>
        <xdr:cNvCxnSpPr/>
      </xdr:nvCxnSpPr>
      <xdr:spPr>
        <a:xfrm flipH="1" flipV="1">
          <a:off x="14899821" y="6368143"/>
          <a:ext cx="721179" cy="721178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21</xdr:col>
      <xdr:colOff>217714</xdr:colOff>
      <xdr:row>33</xdr:row>
      <xdr:rowOff>122465</xdr:rowOff>
    </xdr:from>
    <xdr:to>
      <xdr:col>22</xdr:col>
      <xdr:colOff>136072</xdr:colOff>
      <xdr:row>37</xdr:row>
      <xdr:rowOff>54429</xdr:rowOff>
    </xdr:to>
    <xdr:cxnSp macro="">
      <xdr:nvCxnSpPr>
        <xdr:cNvPr id="103" name="Conector de Seta Reta 102">
          <a:extLst>
            <a:ext uri="{FF2B5EF4-FFF2-40B4-BE49-F238E27FC236}">
              <a16:creationId xmlns:a16="http://schemas.microsoft.com/office/drawing/2014/main" id="{39231885-58A1-C02C-4B7F-D029EE16DA1C}"/>
            </a:ext>
          </a:extLst>
        </xdr:cNvPr>
        <xdr:cNvCxnSpPr/>
      </xdr:nvCxnSpPr>
      <xdr:spPr>
        <a:xfrm flipV="1">
          <a:off x="18560143" y="6354536"/>
          <a:ext cx="762000" cy="74839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19</xdr:col>
      <xdr:colOff>734786</xdr:colOff>
      <xdr:row>24</xdr:row>
      <xdr:rowOff>0</xdr:rowOff>
    </xdr:from>
    <xdr:to>
      <xdr:col>20</xdr:col>
      <xdr:colOff>816428</xdr:colOff>
      <xdr:row>31</xdr:row>
      <xdr:rowOff>136072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977D6701-6021-4208-84D4-107AB0759014}"/>
            </a:ext>
          </a:extLst>
        </xdr:cNvPr>
        <xdr:cNvCxnSpPr/>
      </xdr:nvCxnSpPr>
      <xdr:spPr>
        <a:xfrm flipH="1">
          <a:off x="17389929" y="4395107"/>
          <a:ext cx="925285" cy="1564822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17</xdr:col>
      <xdr:colOff>462641</xdr:colOff>
      <xdr:row>36</xdr:row>
      <xdr:rowOff>163290</xdr:rowOff>
    </xdr:from>
    <xdr:to>
      <xdr:col>21</xdr:col>
      <xdr:colOff>421819</xdr:colOff>
      <xdr:row>39</xdr:row>
      <xdr:rowOff>122466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A7732E27-06EA-4991-8641-93C85626CC91}"/>
            </a:ext>
          </a:extLst>
        </xdr:cNvPr>
        <xdr:cNvSpPr/>
      </xdr:nvSpPr>
      <xdr:spPr>
        <a:xfrm>
          <a:off x="15430498" y="7007683"/>
          <a:ext cx="3333750" cy="57149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Os tratamentos de tempo aparecem em 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laranja (negativo) ou azul (positivo).</a:t>
          </a:r>
        </a:p>
      </xdr:txBody>
    </xdr:sp>
    <xdr:clientData/>
  </xdr:twoCellAnchor>
  <xdr:twoCellAnchor>
    <xdr:from>
      <xdr:col>23</xdr:col>
      <xdr:colOff>612322</xdr:colOff>
      <xdr:row>10</xdr:row>
      <xdr:rowOff>54428</xdr:rowOff>
    </xdr:from>
    <xdr:to>
      <xdr:col>25</xdr:col>
      <xdr:colOff>421822</xdr:colOff>
      <xdr:row>23</xdr:row>
      <xdr:rowOff>95250</xdr:rowOff>
    </xdr:to>
    <xdr:cxnSp macro="">
      <xdr:nvCxnSpPr>
        <xdr:cNvPr id="104" name="Conector de Seta Reta 103">
          <a:extLst>
            <a:ext uri="{FF2B5EF4-FFF2-40B4-BE49-F238E27FC236}">
              <a16:creationId xmlns:a16="http://schemas.microsoft.com/office/drawing/2014/main" id="{3E9B1E3E-9D78-9769-205D-E987C3ABB551}"/>
            </a:ext>
          </a:extLst>
        </xdr:cNvPr>
        <xdr:cNvCxnSpPr/>
      </xdr:nvCxnSpPr>
      <xdr:spPr>
        <a:xfrm flipH="1">
          <a:off x="20642036" y="1551214"/>
          <a:ext cx="1034143" cy="2735036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25</xdr:col>
      <xdr:colOff>244928</xdr:colOff>
      <xdr:row>7</xdr:row>
      <xdr:rowOff>13608</xdr:rowOff>
    </xdr:from>
    <xdr:to>
      <xdr:col>25</xdr:col>
      <xdr:colOff>3578675</xdr:colOff>
      <xdr:row>12</xdr:row>
      <xdr:rowOff>95251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4A548845-AEBA-44E5-A731-B473819326B5}"/>
            </a:ext>
          </a:extLst>
        </xdr:cNvPr>
        <xdr:cNvSpPr/>
      </xdr:nvSpPr>
      <xdr:spPr>
        <a:xfrm>
          <a:off x="21499285" y="1061358"/>
          <a:ext cx="3333747" cy="830036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DICA: para passar os valores da coluna não tratada para a coluna tratada, faça o seguinte passo a passo:</a:t>
          </a:r>
        </a:p>
      </xdr:txBody>
    </xdr:sp>
    <xdr:clientData/>
  </xdr:twoCellAnchor>
  <xdr:twoCellAnchor>
    <xdr:from>
      <xdr:col>18</xdr:col>
      <xdr:colOff>844035</xdr:colOff>
      <xdr:row>18</xdr:row>
      <xdr:rowOff>80528</xdr:rowOff>
    </xdr:from>
    <xdr:to>
      <xdr:col>19</xdr:col>
      <xdr:colOff>157269</xdr:colOff>
      <xdr:row>18</xdr:row>
      <xdr:rowOff>238124</xdr:rowOff>
    </xdr:to>
    <xdr:sp macro="" textlink="">
      <xdr:nvSpPr>
        <xdr:cNvPr id="113" name="Elipse 112">
          <a:extLst>
            <a:ext uri="{FF2B5EF4-FFF2-40B4-BE49-F238E27FC236}">
              <a16:creationId xmlns:a16="http://schemas.microsoft.com/office/drawing/2014/main" id="{2431EC9B-C7F2-B000-C703-CA3B9F12A146}"/>
            </a:ext>
          </a:extLst>
        </xdr:cNvPr>
        <xdr:cNvSpPr/>
      </xdr:nvSpPr>
      <xdr:spPr>
        <a:xfrm>
          <a:off x="16679348" y="2872544"/>
          <a:ext cx="158577" cy="157596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18</xdr:col>
      <xdr:colOff>802363</xdr:colOff>
      <xdr:row>18</xdr:row>
      <xdr:rowOff>344756</xdr:rowOff>
    </xdr:from>
    <xdr:to>
      <xdr:col>19</xdr:col>
      <xdr:colOff>71439</xdr:colOff>
      <xdr:row>18</xdr:row>
      <xdr:rowOff>460706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5338362B-5BF1-C492-16A7-6914DBAF437B}"/>
            </a:ext>
          </a:extLst>
        </xdr:cNvPr>
        <xdr:cNvSpPr/>
      </xdr:nvSpPr>
      <xdr:spPr>
        <a:xfrm>
          <a:off x="16637676" y="3136772"/>
          <a:ext cx="114419" cy="115950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18</xdr:col>
      <xdr:colOff>778549</xdr:colOff>
      <xdr:row>18</xdr:row>
      <xdr:rowOff>549911</xdr:rowOff>
    </xdr:from>
    <xdr:to>
      <xdr:col>18</xdr:col>
      <xdr:colOff>845342</xdr:colOff>
      <xdr:row>18</xdr:row>
      <xdr:rowOff>615970</xdr:rowOff>
    </xdr:to>
    <xdr:sp macro="" textlink="">
      <xdr:nvSpPr>
        <xdr:cNvPr id="115" name="Elipse 114">
          <a:extLst>
            <a:ext uri="{FF2B5EF4-FFF2-40B4-BE49-F238E27FC236}">
              <a16:creationId xmlns:a16="http://schemas.microsoft.com/office/drawing/2014/main" id="{541B51C6-5444-C5FE-09D7-B70A3D089EC1}"/>
            </a:ext>
          </a:extLst>
        </xdr:cNvPr>
        <xdr:cNvSpPr/>
      </xdr:nvSpPr>
      <xdr:spPr>
        <a:xfrm>
          <a:off x="16613862" y="3341927"/>
          <a:ext cx="66793" cy="66059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19</xdr:col>
      <xdr:colOff>52267</xdr:colOff>
      <xdr:row>16</xdr:row>
      <xdr:rowOff>104341</xdr:rowOff>
    </xdr:from>
    <xdr:to>
      <xdr:col>19</xdr:col>
      <xdr:colOff>252774</xdr:colOff>
      <xdr:row>17</xdr:row>
      <xdr:rowOff>148827</xdr:rowOff>
    </xdr:to>
    <xdr:sp macro="" textlink="">
      <xdr:nvSpPr>
        <xdr:cNvPr id="116" name="Elipse 115">
          <a:extLst>
            <a:ext uri="{FF2B5EF4-FFF2-40B4-BE49-F238E27FC236}">
              <a16:creationId xmlns:a16="http://schemas.microsoft.com/office/drawing/2014/main" id="{FECB88A9-0C60-D9F4-9498-60B1F310A928}"/>
            </a:ext>
          </a:extLst>
        </xdr:cNvPr>
        <xdr:cNvSpPr/>
      </xdr:nvSpPr>
      <xdr:spPr>
        <a:xfrm>
          <a:off x="16732923" y="2580841"/>
          <a:ext cx="200507" cy="199267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721179</xdr:colOff>
      <xdr:row>35</xdr:row>
      <xdr:rowOff>68035</xdr:rowOff>
    </xdr:from>
    <xdr:to>
      <xdr:col>7</xdr:col>
      <xdr:colOff>830036</xdr:colOff>
      <xdr:row>51</xdr:row>
      <xdr:rowOff>13607</xdr:rowOff>
    </xdr:to>
    <xdr:cxnSp macro="">
      <xdr:nvCxnSpPr>
        <xdr:cNvPr id="134" name="Conector de Seta Reta 133">
          <a:extLst>
            <a:ext uri="{FF2B5EF4-FFF2-40B4-BE49-F238E27FC236}">
              <a16:creationId xmlns:a16="http://schemas.microsoft.com/office/drawing/2014/main" id="{2630C0B0-5630-8C46-075E-3E794EDE3EA7}"/>
            </a:ext>
          </a:extLst>
        </xdr:cNvPr>
        <xdr:cNvCxnSpPr/>
      </xdr:nvCxnSpPr>
      <xdr:spPr>
        <a:xfrm flipH="1" flipV="1">
          <a:off x="7239000" y="6708321"/>
          <a:ext cx="108857" cy="3320143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5</xdr:col>
      <xdr:colOff>625928</xdr:colOff>
      <xdr:row>50</xdr:row>
      <xdr:rowOff>163284</xdr:rowOff>
    </xdr:from>
    <xdr:to>
      <xdr:col>9</xdr:col>
      <xdr:colOff>761999</xdr:colOff>
      <xdr:row>56</xdr:row>
      <xdr:rowOff>40821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4B75ABF1-3D47-D2B5-2B2E-43A565D591F5}"/>
            </a:ext>
          </a:extLst>
        </xdr:cNvPr>
        <xdr:cNvSpPr/>
      </xdr:nvSpPr>
      <xdr:spPr>
        <a:xfrm>
          <a:off x="5456464" y="9865177"/>
          <a:ext cx="3510642" cy="115660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 você precisar bypassar (passar por cima, anular) o tratamento de marcações de pontos, você pode desocultar estas colunas, desproteger a planilha e inserir um valor manualmente aqui</a:t>
          </a:r>
        </a:p>
      </xdr:txBody>
    </xdr:sp>
    <xdr:clientData/>
  </xdr:twoCellAnchor>
  <xdr:twoCellAnchor>
    <xdr:from>
      <xdr:col>3</xdr:col>
      <xdr:colOff>149680</xdr:colOff>
      <xdr:row>57</xdr:row>
      <xdr:rowOff>122464</xdr:rowOff>
    </xdr:from>
    <xdr:to>
      <xdr:col>9</xdr:col>
      <xdr:colOff>762000</xdr:colOff>
      <xdr:row>62</xdr:row>
      <xdr:rowOff>13609</xdr:rowOff>
    </xdr:to>
    <xdr:sp macro="" textlink="">
      <xdr:nvSpPr>
        <xdr:cNvPr id="28" name="Balão de Fala: Retângulo 27">
          <a:extLst>
            <a:ext uri="{FF2B5EF4-FFF2-40B4-BE49-F238E27FC236}">
              <a16:creationId xmlns:a16="http://schemas.microsoft.com/office/drawing/2014/main" id="{4CB87887-F390-F422-255F-6BF9C3928ADC}"/>
            </a:ext>
          </a:extLst>
        </xdr:cNvPr>
        <xdr:cNvSpPr/>
      </xdr:nvSpPr>
      <xdr:spPr>
        <a:xfrm>
          <a:off x="3292930" y="11293928"/>
          <a:ext cx="5674177" cy="830038"/>
        </a:xfrm>
        <a:prstGeom prst="wedgeRectCallout">
          <a:avLst>
            <a:gd name="adj1" fmla="val -4254"/>
            <a:gd name="adj2" fmla="val -10422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Toda célula, dessas 4 colunas ocultas, na qual você retirar a fórmula e colocar um valor estático será destacada de laranja para que você não se esqueça de reestabelecer a fórmula no próximo ano.</a:t>
          </a:r>
        </a:p>
      </xdr:txBody>
    </xdr:sp>
    <xdr:clientData/>
  </xdr:twoCellAnchor>
  <xdr:twoCellAnchor>
    <xdr:from>
      <xdr:col>25</xdr:col>
      <xdr:colOff>272144</xdr:colOff>
      <xdr:row>13</xdr:row>
      <xdr:rowOff>27214</xdr:rowOff>
    </xdr:from>
    <xdr:to>
      <xdr:col>25</xdr:col>
      <xdr:colOff>1959430</xdr:colOff>
      <xdr:row>18</xdr:row>
      <xdr:rowOff>190500</xdr:rowOff>
    </xdr:to>
    <xdr:sp macro="" textlink="">
      <xdr:nvSpPr>
        <xdr:cNvPr id="15" name="Balão de Pensamento: Nuvem 14">
          <a:extLst>
            <a:ext uri="{FF2B5EF4-FFF2-40B4-BE49-F238E27FC236}">
              <a16:creationId xmlns:a16="http://schemas.microsoft.com/office/drawing/2014/main" id="{A9EB77C9-731C-5374-E1B4-046C7A3E1457}"/>
            </a:ext>
          </a:extLst>
        </xdr:cNvPr>
        <xdr:cNvSpPr/>
      </xdr:nvSpPr>
      <xdr:spPr>
        <a:xfrm>
          <a:off x="21526501" y="1973035"/>
          <a:ext cx="1687286" cy="925286"/>
        </a:xfrm>
        <a:prstGeom prst="cloudCallout">
          <a:avLst>
            <a:gd name="adj1" fmla="val -63522"/>
            <a:gd name="adj2" fmla="val 74560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1</xdr:col>
      <xdr:colOff>952501</xdr:colOff>
      <xdr:row>3</xdr:row>
      <xdr:rowOff>27212</xdr:rowOff>
    </xdr:from>
    <xdr:to>
      <xdr:col>3</xdr:col>
      <xdr:colOff>775607</xdr:colOff>
      <xdr:row>9</xdr:row>
      <xdr:rowOff>13606</xdr:rowOff>
    </xdr:to>
    <xdr:sp macro="" textlink="">
      <xdr:nvSpPr>
        <xdr:cNvPr id="142" name="Balão de Fala: Retângulo 141">
          <a:extLst>
            <a:ext uri="{FF2B5EF4-FFF2-40B4-BE49-F238E27FC236}">
              <a16:creationId xmlns:a16="http://schemas.microsoft.com/office/drawing/2014/main" id="{FAA1C188-1AB9-4496-ADE7-804F5C1BACCB}"/>
            </a:ext>
          </a:extLst>
        </xdr:cNvPr>
        <xdr:cNvSpPr/>
      </xdr:nvSpPr>
      <xdr:spPr>
        <a:xfrm>
          <a:off x="1823358" y="476248"/>
          <a:ext cx="2095499" cy="884465"/>
        </a:xfrm>
        <a:prstGeom prst="wedgeRectCallout">
          <a:avLst>
            <a:gd name="adj1" fmla="val -69189"/>
            <a:gd name="adj2" fmla="val 74233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tipo de dia que você escolher no Calendário da planilha DADOS aparece aqui.</a:t>
          </a:r>
        </a:p>
      </xdr:txBody>
    </xdr:sp>
    <xdr:clientData/>
  </xdr:twoCellAnchor>
  <xdr:twoCellAnchor>
    <xdr:from>
      <xdr:col>13</xdr:col>
      <xdr:colOff>748392</xdr:colOff>
      <xdr:row>8</xdr:row>
      <xdr:rowOff>81642</xdr:rowOff>
    </xdr:from>
    <xdr:to>
      <xdr:col>14</xdr:col>
      <xdr:colOff>122464</xdr:colOff>
      <xdr:row>31</xdr:row>
      <xdr:rowOff>122464</xdr:rowOff>
    </xdr:to>
    <xdr:cxnSp macro="">
      <xdr:nvCxnSpPr>
        <xdr:cNvPr id="21" name="Conector de Seta Reta 20">
          <a:extLst>
            <a:ext uri="{FF2B5EF4-FFF2-40B4-BE49-F238E27FC236}">
              <a16:creationId xmlns:a16="http://schemas.microsoft.com/office/drawing/2014/main" id="{88CE28CD-7E15-C80A-8820-EFDD5A8F76C1}"/>
            </a:ext>
          </a:extLst>
        </xdr:cNvPr>
        <xdr:cNvCxnSpPr/>
      </xdr:nvCxnSpPr>
      <xdr:spPr>
        <a:xfrm>
          <a:off x="12328071" y="1279071"/>
          <a:ext cx="231322" cy="46672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12</xdr:col>
      <xdr:colOff>748393</xdr:colOff>
      <xdr:row>1</xdr:row>
      <xdr:rowOff>40821</xdr:rowOff>
    </xdr:from>
    <xdr:to>
      <xdr:col>18</xdr:col>
      <xdr:colOff>136071</xdr:colOff>
      <xdr:row>9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244C62ED-E405-8BF8-911B-E083B83E0238}"/>
            </a:ext>
          </a:extLst>
        </xdr:cNvPr>
        <xdr:cNvSpPr/>
      </xdr:nvSpPr>
      <xdr:spPr>
        <a:xfrm>
          <a:off x="11484429" y="190500"/>
          <a:ext cx="4463142" cy="1156607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possível que as Variações de Horas do Almoço contenham a soma dos tratamentos do SAP. Nesse exemplo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do ponto comercial, você vê +0:10, mas ele é o resultado de +0:30 hora extra do almoço somado a -0:20 de atraso por ter saído antes de 12h00.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7DC68C4-4FCB-489F-AE9E-9ABEB1AC3646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783AB0AE-9F6F-43A8-9DF6-B0BFE0227191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16A31E2-1B2A-4F8C-ACAD-C7A1507B8CCB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F771969-F69B-423C-A434-65061EA8329A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F0F849B4-70D8-4D50-A397-6DCC5D8360E5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C9DEA152-15DA-4CD1-BA63-169F71FCF778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DB67617-C93E-4058-8140-369F600BE1AF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8133ACF6-8356-44D1-A82F-A8C871DDE326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9CC22B91-96E3-4C7B-8F45-F90639170035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E88FE85D-3C5F-4A3E-B716-60D2BBC96043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408883F-365E-455F-9E09-34CB82B3606F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2A5A6A32-A8A5-4724-960C-5C17903E6EE6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5A37935C-070D-44BF-9676-76D2103D4E83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9C139511-7484-4E00-A1F0-32DBA3C96486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68B65C99-BABB-4940-98DB-0935E800E2BC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765EDB9-29B0-4829-A8D1-53B9AB4B436F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E2C329E-F266-4E00-9C46-369827B0E58C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794622F8-0680-4766-9379-57C0A64AD8AA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1093C85D-AB0A-463F-9FA2-B953D5AB4C91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76B0125C-F335-4C71-B19C-1B95243CFBAF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FEE4850F-E109-4770-995B-26F2AF7ED298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195D7552-FD72-4F53-B8AB-2EEBA2EDED56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F9219547-1DDB-4D6C-AF5C-CD6108EB0D25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1390A218-6451-476A-B972-74A4F0F07394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C5840CAF-FBC7-4474-AA6C-4A122FBB9300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5A951999-0ECB-4D72-8A6B-993BC0245B69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2D5BB695-1A09-409A-B819-8161D68F52FD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49F97560-2A19-4DE5-A3AF-08E1874892C8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E8578FD5-B1BD-4961-AB37-E7AC240FB0DC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ACFD504E-09D1-4000-A223-D56C9BB7D478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AE79490-6218-42A0-8C54-4345E6031B19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F14F3049-62F0-40BC-8AF1-42DAE7EB3F0E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2FCE8BDE-7AA1-4708-8A85-4F2125FF6848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F9A71AB3-4DC1-413A-B003-C470ABAB22C6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0C79589F-CB3E-42CB-8018-3085CC36CB10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674232E-025E-4723-A382-8A2ACE270C9E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C4732C4-7F84-4E4B-9933-59D1DDC21426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8C7377DC-8019-4FF1-AAA7-287A5AA76014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E1575DB-2AAA-4C9E-839C-D7CDD392438C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83CDCD90-79D3-4C33-9D9D-D14CF7DCE5B5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7B830CEF-C9C2-4390-AC8A-AA9990239830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1D09D9DD-4692-4DAC-954A-7D996CBFFF5F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3C0D26F-E07D-4E93-9C85-C1D7B8308DE0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D323B3A3-BD87-4B27-AF8A-F25B1DD9D0C5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90C01E0C-4039-4AF1-AF36-9C342C860EC2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BA797D8C-07FC-4D02-9596-3BD879A3339C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E417B6A5-AD0C-4B12-8B4D-DD09B3D552C4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431AE917-FB03-4815-B06B-CE769DFBAE02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E86C6114-45F6-4B68-996F-2856BB00373D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1D3842CA-16B8-42B1-B00F-E4AF4D9870BF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95E31036-1CC7-4EF1-82D7-6EFC4BD83425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9268A099-19D5-4B4F-B13C-F028FFD26B4A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lendario" displayName="Calendario" ref="C12:E72" headerRowDxfId="584" dataDxfId="583" headerRowCellStyle="Normal" dataCellStyle="Normal">
  <autoFilter ref="C12:E72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IA" totalsRowLabel="Total" dataDxfId="582" totalsRowDxfId="581" dataCellStyle="Normal"/>
    <tableColumn id="2" xr3:uid="{00000000-0010-0000-0000-000002000000}" name="TIPO" dataDxfId="580" totalsRowDxfId="579" dataCellStyle="Normal"/>
    <tableColumn id="3" xr3:uid="{00000000-0010-0000-0000-000003000000}" name="DESCRIÇÃO" totalsRowFunction="count" dataDxfId="578" totalsRowDxfId="577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Legenda" displayName="Legenda" ref="O20:P26" totalsRowShown="0" headerRowDxfId="576" dataDxfId="574" headerRowBorderDxfId="575" tableBorderDxfId="573" totalsRowBorderDxfId="572">
  <autoFilter ref="O20:P26" xr:uid="{00000000-0009-0000-0100-000004000000}">
    <filterColumn colId="0" hiddenButton="1"/>
    <filterColumn colId="1" hiddenButton="1"/>
  </autoFilter>
  <tableColumns count="2">
    <tableColumn id="1" xr3:uid="{00000000-0010-0000-0100-000001000000}" name="COR" dataDxfId="571"/>
    <tableColumn id="2" xr3:uid="{00000000-0010-0000-0100-000002000000}" name="TIPO" dataDxfId="57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github.com/LeoneAC/controle-ponto-ETN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etnweb-my.sharepoint.com/:f:/g/personal/leoneac_eletronuclear_gov_br/EnMH1XHhXWpPq-LXJP2vnZQBkkwZ7J9v8N_xSmHBRX6iog" TargetMode="External"/><Relationship Id="rId1" Type="http://schemas.openxmlformats.org/officeDocument/2006/relationships/hyperlink" Target="https://creativecommons.org/licenses/by-nc-sa/4.0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omments" Target="../comments1.xml"/><Relationship Id="rId4" Type="http://schemas.openxmlformats.org/officeDocument/2006/relationships/printerSettings" Target="../printerSettings/printerSettings1.bin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DOS">
    <tabColor theme="7"/>
  </sheetPr>
  <dimension ref="B1:R169"/>
  <sheetViews>
    <sheetView tabSelected="1" zoomScale="80" zoomScaleNormal="80" workbookViewId="0"/>
  </sheetViews>
  <sheetFormatPr defaultRowHeight="12" x14ac:dyDescent="0.2"/>
  <cols>
    <col min="1" max="1" width="4.7109375" style="4" customWidth="1"/>
    <col min="2" max="2" width="10.7109375" style="10" customWidth="1"/>
    <col min="3" max="3" width="13.5703125" style="11" customWidth="1"/>
    <col min="4" max="4" width="23.28515625" style="11" customWidth="1"/>
    <col min="5" max="5" width="79.5703125" style="11" customWidth="1"/>
    <col min="6" max="6" width="10.7109375" style="11" customWidth="1"/>
    <col min="7" max="7" width="4.7109375" style="11" customWidth="1"/>
    <col min="8" max="8" width="6.7109375" style="11" customWidth="1"/>
    <col min="9" max="9" width="12.28515625" style="11" customWidth="1"/>
    <col min="10" max="10" width="13.28515625" style="11" customWidth="1"/>
    <col min="11" max="11" width="65.5703125" style="11" customWidth="1"/>
    <col min="12" max="12" width="6.7109375" style="11" customWidth="1"/>
    <col min="13" max="13" width="4.7109375" style="11" customWidth="1"/>
    <col min="14" max="14" width="6.7109375" style="11" customWidth="1"/>
    <col min="15" max="15" width="17.28515625" style="11" customWidth="1"/>
    <col min="16" max="16" width="40.140625" style="11" bestFit="1" customWidth="1"/>
    <col min="17" max="17" width="6.7109375" style="11" customWidth="1"/>
    <col min="18" max="18" width="4.7109375" style="11" customWidth="1"/>
    <col min="19" max="16384" width="9.140625" style="4"/>
  </cols>
  <sheetData>
    <row r="1" spans="2:18" s="3" customFormat="1" ht="20.100000000000001" customHeight="1" x14ac:dyDescent="0.2">
      <c r="B1" s="6"/>
      <c r="C1" s="7"/>
      <c r="D1" s="7"/>
      <c r="E1" s="7"/>
      <c r="F1" s="7"/>
      <c r="G1" s="7"/>
      <c r="H1" s="7"/>
      <c r="I1" s="7"/>
      <c r="J1" s="7"/>
      <c r="K1" s="31"/>
      <c r="L1" s="7"/>
      <c r="M1" s="7"/>
      <c r="N1" s="7"/>
      <c r="O1" s="7"/>
      <c r="P1" s="7"/>
      <c r="Q1" s="7"/>
      <c r="R1" s="7"/>
    </row>
    <row r="2" spans="2:18" s="27" customFormat="1" ht="38.1" customHeight="1" thickBot="1" x14ac:dyDescent="0.5">
      <c r="B2" s="289" t="s">
        <v>129</v>
      </c>
      <c r="C2" s="289"/>
      <c r="D2" s="290" t="s">
        <v>154</v>
      </c>
      <c r="E2" s="290"/>
      <c r="F2" s="290"/>
      <c r="H2" s="272" t="s">
        <v>45</v>
      </c>
      <c r="I2" s="272"/>
      <c r="J2" s="273" t="s">
        <v>61</v>
      </c>
      <c r="K2" s="273"/>
      <c r="L2" s="273"/>
      <c r="N2" s="272" t="s">
        <v>62</v>
      </c>
      <c r="O2" s="272"/>
      <c r="P2" s="273" t="s">
        <v>63</v>
      </c>
      <c r="Q2" s="279"/>
    </row>
    <row r="3" spans="2:18" s="27" customFormat="1" ht="27.95" customHeight="1" x14ac:dyDescent="0.35">
      <c r="B3" s="291">
        <v>1</v>
      </c>
      <c r="C3" s="291"/>
      <c r="D3" s="290"/>
      <c r="E3" s="290"/>
      <c r="F3" s="290"/>
      <c r="H3" s="280">
        <f>$B$8+1</f>
        <v>3</v>
      </c>
      <c r="I3" s="280"/>
      <c r="J3" s="273"/>
      <c r="K3" s="273"/>
      <c r="L3" s="273"/>
      <c r="N3" s="280"/>
      <c r="O3" s="280"/>
      <c r="P3" s="279"/>
      <c r="Q3" s="279"/>
    </row>
    <row r="4" spans="2:18" s="27" customFormat="1" ht="27.95" customHeight="1" x14ac:dyDescent="0.35">
      <c r="B4" s="292"/>
      <c r="C4" s="292"/>
      <c r="D4" s="290"/>
      <c r="E4" s="290"/>
      <c r="F4" s="290"/>
      <c r="H4" s="294"/>
      <c r="I4" s="294"/>
      <c r="J4" s="273"/>
      <c r="K4" s="273"/>
      <c r="L4" s="273"/>
      <c r="N4" s="88"/>
      <c r="O4" s="88"/>
      <c r="P4" s="88"/>
      <c r="Q4" s="89"/>
    </row>
    <row r="5" spans="2:18" s="27" customFormat="1" ht="24.95" customHeight="1" x14ac:dyDescent="0.35">
      <c r="B5" s="6"/>
      <c r="C5" s="7"/>
      <c r="D5" s="7"/>
      <c r="E5" s="7"/>
      <c r="F5" s="7"/>
      <c r="H5" s="83"/>
      <c r="I5" s="83"/>
      <c r="J5" s="84"/>
      <c r="K5" s="84"/>
      <c r="L5" s="84"/>
      <c r="N5" s="91"/>
      <c r="O5" s="105" t="s">
        <v>58</v>
      </c>
      <c r="P5" s="104" t="s">
        <v>59</v>
      </c>
      <c r="Q5" s="88"/>
    </row>
    <row r="6" spans="2:18" s="27" customFormat="1" ht="18.95" customHeight="1" thickBot="1" x14ac:dyDescent="0.4">
      <c r="B6" s="285" t="s">
        <v>38</v>
      </c>
      <c r="C6" s="285"/>
      <c r="D6" s="288" t="s">
        <v>60</v>
      </c>
      <c r="E6" s="288"/>
      <c r="F6" s="288"/>
      <c r="G6" s="25"/>
      <c r="H6" s="83"/>
      <c r="I6" s="284" t="s">
        <v>47</v>
      </c>
      <c r="J6" s="284"/>
      <c r="K6" s="223" t="s">
        <v>50</v>
      </c>
      <c r="L6" s="84"/>
      <c r="M6" s="26"/>
      <c r="N6" s="90"/>
      <c r="O6" s="101" t="s">
        <v>10</v>
      </c>
      <c r="P6" s="103" t="s">
        <v>74</v>
      </c>
      <c r="Q6" s="88"/>
    </row>
    <row r="7" spans="2:18" s="27" customFormat="1" ht="18.95" customHeight="1" thickBot="1" x14ac:dyDescent="0.4">
      <c r="B7" s="285"/>
      <c r="C7" s="285"/>
      <c r="D7" s="288"/>
      <c r="E7" s="288"/>
      <c r="F7" s="288"/>
      <c r="G7" s="25"/>
      <c r="H7" s="84"/>
      <c r="I7" s="84"/>
      <c r="J7" s="84"/>
      <c r="K7" s="84"/>
      <c r="L7" s="84"/>
      <c r="N7" s="90"/>
      <c r="O7" s="102" t="s">
        <v>54</v>
      </c>
      <c r="P7" s="103" t="s">
        <v>79</v>
      </c>
      <c r="Q7" s="90"/>
    </row>
    <row r="8" spans="2:18" s="27" customFormat="1" ht="18.95" customHeight="1" x14ac:dyDescent="0.35">
      <c r="B8" s="286">
        <f>$B$3+1</f>
        <v>2</v>
      </c>
      <c r="C8" s="286"/>
      <c r="D8" s="288"/>
      <c r="E8" s="288"/>
      <c r="F8" s="288"/>
      <c r="G8" s="25"/>
      <c r="H8" s="84"/>
      <c r="I8" s="284" t="s">
        <v>48</v>
      </c>
      <c r="J8" s="284"/>
      <c r="K8" s="223" t="s">
        <v>51</v>
      </c>
      <c r="L8" s="84"/>
      <c r="N8" s="90"/>
      <c r="O8" s="102" t="s">
        <v>55</v>
      </c>
      <c r="P8" s="103" t="s">
        <v>57</v>
      </c>
      <c r="Q8" s="88"/>
    </row>
    <row r="9" spans="2:18" s="27" customFormat="1" ht="18.95" customHeight="1" x14ac:dyDescent="0.35">
      <c r="B9" s="287"/>
      <c r="C9" s="287"/>
      <c r="D9" s="288"/>
      <c r="E9" s="288"/>
      <c r="F9" s="288"/>
      <c r="G9" s="25"/>
      <c r="H9" s="83"/>
      <c r="I9" s="83"/>
      <c r="J9" s="84"/>
      <c r="K9" s="84"/>
      <c r="L9" s="84"/>
      <c r="N9" s="90"/>
      <c r="O9" s="102" t="s">
        <v>56</v>
      </c>
      <c r="P9" s="103" t="s">
        <v>11</v>
      </c>
      <c r="Q9" s="88"/>
    </row>
    <row r="10" spans="2:18" s="27" customFormat="1" ht="18.95" customHeight="1" x14ac:dyDescent="0.35">
      <c r="B10" s="287"/>
      <c r="C10" s="287"/>
      <c r="D10" s="288"/>
      <c r="E10" s="288"/>
      <c r="F10" s="288"/>
      <c r="G10" s="25"/>
      <c r="H10" s="83"/>
      <c r="I10" s="284" t="s">
        <v>46</v>
      </c>
      <c r="J10" s="284"/>
      <c r="K10" s="223" t="s">
        <v>52</v>
      </c>
      <c r="L10" s="84"/>
      <c r="N10" s="90"/>
      <c r="O10" s="101" t="s">
        <v>39</v>
      </c>
      <c r="P10" s="103" t="s">
        <v>12</v>
      </c>
      <c r="Q10" s="90"/>
    </row>
    <row r="11" spans="2:18" s="27" customFormat="1" ht="18.95" customHeight="1" x14ac:dyDescent="0.35">
      <c r="B11" s="191"/>
      <c r="C11" s="192"/>
      <c r="D11" s="192"/>
      <c r="E11" s="192"/>
      <c r="F11" s="194"/>
      <c r="G11" s="25"/>
      <c r="H11" s="83"/>
      <c r="I11" s="83"/>
      <c r="J11" s="84"/>
      <c r="K11" s="84"/>
      <c r="L11" s="84"/>
      <c r="N11" s="90"/>
      <c r="O11" s="101" t="s">
        <v>152</v>
      </c>
      <c r="P11" s="103" t="s">
        <v>153</v>
      </c>
      <c r="Q11" s="90"/>
    </row>
    <row r="12" spans="2:18" s="27" customFormat="1" ht="18.95" customHeight="1" x14ac:dyDescent="0.35">
      <c r="B12" s="191"/>
      <c r="C12" s="249" t="s">
        <v>20</v>
      </c>
      <c r="D12" s="249" t="s">
        <v>21</v>
      </c>
      <c r="E12" s="250" t="s">
        <v>37</v>
      </c>
      <c r="F12" s="193"/>
      <c r="G12" s="25"/>
      <c r="H12" s="83"/>
      <c r="I12" s="284" t="s">
        <v>49</v>
      </c>
      <c r="J12" s="284"/>
      <c r="K12" s="223" t="s">
        <v>53</v>
      </c>
      <c r="L12" s="84"/>
      <c r="N12" s="90"/>
      <c r="O12" s="101" t="s">
        <v>13</v>
      </c>
      <c r="P12" s="103" t="s">
        <v>14</v>
      </c>
      <c r="Q12" s="88"/>
    </row>
    <row r="13" spans="2:18" s="27" customFormat="1" ht="18.95" customHeight="1" x14ac:dyDescent="0.35">
      <c r="B13" s="191"/>
      <c r="C13" s="188">
        <v>44196</v>
      </c>
      <c r="D13" s="189" t="s">
        <v>22</v>
      </c>
      <c r="E13" s="190" t="s">
        <v>124</v>
      </c>
      <c r="F13" s="193"/>
      <c r="G13" s="25"/>
      <c r="H13" s="83"/>
      <c r="I13" s="83"/>
      <c r="J13" s="84"/>
      <c r="K13" s="84"/>
      <c r="L13" s="84"/>
      <c r="N13" s="90"/>
      <c r="O13" s="101" t="s">
        <v>15</v>
      </c>
      <c r="P13" s="103" t="s">
        <v>75</v>
      </c>
      <c r="Q13" s="88"/>
    </row>
    <row r="14" spans="2:18" s="27" customFormat="1" ht="18.95" customHeight="1" x14ac:dyDescent="0.35">
      <c r="B14" s="191"/>
      <c r="C14" s="188">
        <v>44201</v>
      </c>
      <c r="D14" s="189" t="s">
        <v>22</v>
      </c>
      <c r="E14" s="190" t="s">
        <v>156</v>
      </c>
      <c r="F14" s="193"/>
      <c r="G14" s="25"/>
      <c r="H14" s="83"/>
      <c r="I14" s="284" t="s">
        <v>30</v>
      </c>
      <c r="J14" s="284"/>
      <c r="K14" s="223" t="s">
        <v>92</v>
      </c>
      <c r="L14" s="84"/>
      <c r="N14" s="90"/>
      <c r="O14" s="101" t="s">
        <v>40</v>
      </c>
      <c r="P14" s="103" t="s">
        <v>76</v>
      </c>
      <c r="Q14" s="90"/>
    </row>
    <row r="15" spans="2:18" s="27" customFormat="1" ht="18.95" customHeight="1" x14ac:dyDescent="0.35">
      <c r="B15" s="191"/>
      <c r="C15" s="188">
        <v>44254</v>
      </c>
      <c r="D15" s="189" t="s">
        <v>32</v>
      </c>
      <c r="E15" s="190" t="s">
        <v>177</v>
      </c>
      <c r="F15" s="193"/>
      <c r="G15" s="25"/>
      <c r="H15" s="83"/>
      <c r="I15" s="83"/>
      <c r="J15" s="84"/>
      <c r="K15" s="84"/>
      <c r="L15" s="84"/>
      <c r="N15" s="90"/>
      <c r="O15" s="101" t="s">
        <v>8</v>
      </c>
      <c r="P15" s="103" t="s">
        <v>16</v>
      </c>
      <c r="Q15" s="90"/>
    </row>
    <row r="16" spans="2:18" s="27" customFormat="1" ht="18.95" customHeight="1" x14ac:dyDescent="0.35">
      <c r="B16" s="191"/>
      <c r="C16" s="188">
        <v>44257</v>
      </c>
      <c r="D16" s="189" t="s">
        <v>23</v>
      </c>
      <c r="E16" s="190" t="s">
        <v>157</v>
      </c>
      <c r="F16" s="193"/>
      <c r="G16" s="25"/>
      <c r="H16" s="83"/>
      <c r="I16" s="284" t="s">
        <v>28</v>
      </c>
      <c r="J16" s="284"/>
      <c r="K16" s="99">
        <f>IF($C$13&lt;&gt;"",YEAR($C$13),"(Inserir data na primeira linha do Calendário)")</f>
        <v>2025</v>
      </c>
      <c r="L16" s="84"/>
      <c r="N16" s="90"/>
      <c r="O16" s="101" t="s">
        <v>17</v>
      </c>
      <c r="P16" s="103" t="s">
        <v>77</v>
      </c>
      <c r="Q16" s="90"/>
    </row>
    <row r="17" spans="2:18" s="27" customFormat="1" ht="18.95" customHeight="1" x14ac:dyDescent="0.35">
      <c r="B17" s="191"/>
      <c r="C17" s="188">
        <v>44258</v>
      </c>
      <c r="D17" s="189" t="s">
        <v>22</v>
      </c>
      <c r="E17" s="190" t="s">
        <v>158</v>
      </c>
      <c r="F17" s="193"/>
      <c r="G17" s="25"/>
      <c r="H17" s="83"/>
      <c r="I17" s="83"/>
      <c r="J17" s="85"/>
      <c r="K17" s="84"/>
      <c r="L17" s="84"/>
      <c r="N17" s="90"/>
      <c r="O17" s="101" t="s">
        <v>42</v>
      </c>
      <c r="P17" s="103" t="s">
        <v>44</v>
      </c>
      <c r="Q17" s="88"/>
    </row>
    <row r="18" spans="2:18" s="27" customFormat="1" ht="18.95" customHeight="1" x14ac:dyDescent="0.35">
      <c r="B18" s="191"/>
      <c r="C18" s="188">
        <v>44259</v>
      </c>
      <c r="D18" s="189" t="s">
        <v>24</v>
      </c>
      <c r="E18" s="190" t="s">
        <v>159</v>
      </c>
      <c r="F18" s="193"/>
      <c r="G18" s="25"/>
      <c r="H18" s="87"/>
      <c r="I18" s="284" t="s">
        <v>25</v>
      </c>
      <c r="J18" s="284"/>
      <c r="K18" s="98">
        <f>"8:00"*COUNTIF(Calendario[TIPO],"COMPENSADO")+"3:30"*COUNTIF(Calendario[TIPO],"1/2 COMPENSADO")</f>
        <v>2.1041666666666665</v>
      </c>
      <c r="L18" s="86"/>
      <c r="N18" s="268"/>
      <c r="O18" s="101" t="s">
        <v>43</v>
      </c>
      <c r="P18" s="103" t="s">
        <v>78</v>
      </c>
      <c r="Q18" s="88"/>
    </row>
    <row r="19" spans="2:18" s="3" customFormat="1" ht="18.95" customHeight="1" thickBot="1" x14ac:dyDescent="0.4">
      <c r="B19" s="191"/>
      <c r="C19" s="188">
        <v>44303</v>
      </c>
      <c r="D19" s="189" t="s">
        <v>22</v>
      </c>
      <c r="E19" s="190" t="s">
        <v>160</v>
      </c>
      <c r="F19" s="193"/>
      <c r="G19" s="7"/>
      <c r="H19" s="86"/>
      <c r="I19" s="112" t="s">
        <v>26</v>
      </c>
      <c r="J19" s="113"/>
      <c r="K19" s="100"/>
      <c r="L19" s="86"/>
      <c r="N19" s="268"/>
      <c r="O19" s="268"/>
      <c r="P19" s="268"/>
      <c r="Q19" s="88"/>
    </row>
    <row r="20" spans="2:18" s="3" customFormat="1" ht="18.95" customHeight="1" x14ac:dyDescent="0.3">
      <c r="B20" s="191"/>
      <c r="C20" s="188">
        <v>44306</v>
      </c>
      <c r="D20" s="189" t="s">
        <v>22</v>
      </c>
      <c r="E20" s="190" t="s">
        <v>161</v>
      </c>
      <c r="F20" s="193"/>
      <c r="G20" s="7"/>
      <c r="H20" s="86"/>
      <c r="I20" s="86"/>
      <c r="J20" s="86"/>
      <c r="K20" s="86"/>
      <c r="L20" s="86"/>
      <c r="N20" s="90"/>
      <c r="O20" s="110" t="s">
        <v>27</v>
      </c>
      <c r="P20" s="111" t="s">
        <v>21</v>
      </c>
      <c r="Q20" s="88"/>
    </row>
    <row r="21" spans="2:18" s="3" customFormat="1" ht="18.95" customHeight="1" x14ac:dyDescent="0.3">
      <c r="B21" s="191"/>
      <c r="C21" s="188">
        <v>44307</v>
      </c>
      <c r="D21" s="189" t="s">
        <v>19</v>
      </c>
      <c r="E21" s="190" t="s">
        <v>162</v>
      </c>
      <c r="F21" s="193"/>
      <c r="G21" s="7"/>
      <c r="H21" s="28"/>
      <c r="I21" s="28"/>
      <c r="J21" s="28"/>
      <c r="K21" s="28"/>
      <c r="L21" s="28"/>
      <c r="N21" s="90"/>
      <c r="O21" s="93"/>
      <c r="P21" s="106" t="s">
        <v>22</v>
      </c>
      <c r="Q21" s="88"/>
    </row>
    <row r="22" spans="2:18" s="3" customFormat="1" ht="18.95" customHeight="1" x14ac:dyDescent="0.3">
      <c r="B22" s="191"/>
      <c r="C22" s="188">
        <v>44308</v>
      </c>
      <c r="D22" s="189" t="s">
        <v>22</v>
      </c>
      <c r="E22" s="190" t="s">
        <v>163</v>
      </c>
      <c r="F22" s="193"/>
      <c r="G22" s="7"/>
      <c r="H22" s="281" t="s">
        <v>64</v>
      </c>
      <c r="I22" s="281"/>
      <c r="J22" s="281"/>
      <c r="K22" s="295" t="s">
        <v>118</v>
      </c>
      <c r="L22" s="295"/>
      <c r="N22" s="90"/>
      <c r="O22" s="94"/>
      <c r="P22" s="106" t="s">
        <v>23</v>
      </c>
      <c r="Q22" s="88"/>
    </row>
    <row r="23" spans="2:18" s="3" customFormat="1" ht="18.95" customHeight="1" thickBot="1" x14ac:dyDescent="0.35">
      <c r="B23" s="191"/>
      <c r="C23" s="188">
        <v>44316</v>
      </c>
      <c r="D23" s="189" t="s">
        <v>22</v>
      </c>
      <c r="E23" s="190" t="s">
        <v>164</v>
      </c>
      <c r="F23" s="193"/>
      <c r="G23" s="7"/>
      <c r="H23" s="282"/>
      <c r="I23" s="282"/>
      <c r="J23" s="282"/>
      <c r="K23" s="295"/>
      <c r="L23" s="295"/>
      <c r="N23" s="90"/>
      <c r="O23" s="254"/>
      <c r="P23" s="255" t="s">
        <v>126</v>
      </c>
      <c r="Q23" s="88"/>
    </row>
    <row r="24" spans="2:18" s="3" customFormat="1" ht="18.95" customHeight="1" x14ac:dyDescent="0.3">
      <c r="B24" s="191"/>
      <c r="C24" s="188">
        <v>44317</v>
      </c>
      <c r="D24" s="189" t="s">
        <v>19</v>
      </c>
      <c r="E24" s="190" t="s">
        <v>162</v>
      </c>
      <c r="F24" s="193"/>
      <c r="G24" s="7"/>
      <c r="H24" s="283">
        <f>$H$3+1</f>
        <v>4</v>
      </c>
      <c r="I24" s="283"/>
      <c r="J24" s="283"/>
      <c r="K24" s="295"/>
      <c r="L24" s="295"/>
      <c r="N24" s="90"/>
      <c r="O24" s="95"/>
      <c r="P24" s="107" t="s">
        <v>24</v>
      </c>
      <c r="Q24" s="90"/>
    </row>
    <row r="25" spans="2:18" s="3" customFormat="1" ht="18.95" customHeight="1" x14ac:dyDescent="0.3">
      <c r="B25" s="194"/>
      <c r="C25" s="188">
        <v>44365</v>
      </c>
      <c r="D25" s="189" t="s">
        <v>22</v>
      </c>
      <c r="E25" s="190" t="s">
        <v>165</v>
      </c>
      <c r="F25" s="194"/>
      <c r="G25" s="7"/>
      <c r="H25" s="283"/>
      <c r="I25" s="283"/>
      <c r="J25" s="283"/>
      <c r="K25" s="295"/>
      <c r="L25" s="295"/>
      <c r="N25" s="90"/>
      <c r="O25" s="96"/>
      <c r="P25" s="108" t="s">
        <v>19</v>
      </c>
      <c r="Q25" s="90"/>
      <c r="R25" s="7"/>
    </row>
    <row r="26" spans="2:18" s="3" customFormat="1" ht="18.95" customHeight="1" x14ac:dyDescent="0.35">
      <c r="B26" s="194"/>
      <c r="C26" s="188">
        <v>44366</v>
      </c>
      <c r="D26" s="189" t="s">
        <v>19</v>
      </c>
      <c r="E26" s="190" t="s">
        <v>162</v>
      </c>
      <c r="F26" s="194"/>
      <c r="G26" s="7"/>
      <c r="H26" s="283"/>
      <c r="I26" s="283"/>
      <c r="J26" s="283"/>
      <c r="K26" s="295"/>
      <c r="L26" s="295"/>
      <c r="M26" s="26"/>
      <c r="N26" s="90"/>
      <c r="O26" s="97"/>
      <c r="P26" s="109" t="s">
        <v>32</v>
      </c>
      <c r="Q26" s="90"/>
      <c r="R26" s="7"/>
    </row>
    <row r="27" spans="2:18" s="3" customFormat="1" ht="18.95" customHeight="1" x14ac:dyDescent="0.3">
      <c r="B27" s="194"/>
      <c r="C27" s="188">
        <v>44445</v>
      </c>
      <c r="D27" s="189" t="s">
        <v>22</v>
      </c>
      <c r="E27" s="190" t="s">
        <v>166</v>
      </c>
      <c r="F27" s="194"/>
      <c r="G27" s="7"/>
      <c r="H27" s="119"/>
      <c r="I27" s="293"/>
      <c r="J27" s="293"/>
      <c r="K27" s="293"/>
      <c r="L27" s="119"/>
      <c r="N27" s="90"/>
      <c r="O27" s="90"/>
      <c r="P27" s="90"/>
      <c r="Q27" s="90"/>
      <c r="R27" s="7"/>
    </row>
    <row r="28" spans="2:18" s="3" customFormat="1" ht="18.95" customHeight="1" x14ac:dyDescent="0.3">
      <c r="B28" s="194"/>
      <c r="C28" s="188">
        <v>44480</v>
      </c>
      <c r="D28" s="189" t="s">
        <v>22</v>
      </c>
      <c r="E28" s="190" t="s">
        <v>167</v>
      </c>
      <c r="F28" s="194"/>
      <c r="G28" s="7"/>
      <c r="H28" s="119"/>
      <c r="I28" s="276" t="s">
        <v>150</v>
      </c>
      <c r="J28" s="276"/>
      <c r="K28" s="276"/>
      <c r="L28" s="119"/>
      <c r="N28" s="252"/>
      <c r="O28" s="252"/>
      <c r="P28" s="253"/>
      <c r="Q28" s="252"/>
      <c r="R28" s="7"/>
    </row>
    <row r="29" spans="2:18" s="3" customFormat="1" ht="18.95" customHeight="1" x14ac:dyDescent="0.3">
      <c r="B29" s="194"/>
      <c r="C29" s="188">
        <v>44501</v>
      </c>
      <c r="D29" s="189" t="s">
        <v>22</v>
      </c>
      <c r="E29" s="190" t="s">
        <v>168</v>
      </c>
      <c r="F29" s="194"/>
      <c r="G29" s="7"/>
      <c r="H29" s="119"/>
      <c r="I29" s="276"/>
      <c r="J29" s="276"/>
      <c r="K29" s="276"/>
      <c r="L29" s="119"/>
      <c r="N29" s="271" t="s">
        <v>83</v>
      </c>
      <c r="O29" s="271"/>
      <c r="P29" s="273"/>
      <c r="Q29" s="273"/>
      <c r="R29" s="7"/>
    </row>
    <row r="30" spans="2:18" s="3" customFormat="1" ht="18.95" customHeight="1" thickBot="1" x14ac:dyDescent="0.35">
      <c r="B30" s="194"/>
      <c r="C30" s="188">
        <v>44514</v>
      </c>
      <c r="D30" s="189" t="s">
        <v>22</v>
      </c>
      <c r="E30" s="190" t="s">
        <v>169</v>
      </c>
      <c r="F30" s="194"/>
      <c r="G30" s="7"/>
      <c r="H30" s="119"/>
      <c r="I30" s="277" t="s">
        <v>151</v>
      </c>
      <c r="J30" s="277"/>
      <c r="K30" s="277"/>
      <c r="L30" s="119"/>
      <c r="M30" s="7"/>
      <c r="N30" s="272"/>
      <c r="O30" s="272"/>
      <c r="P30" s="273"/>
      <c r="Q30" s="273"/>
      <c r="R30" s="7"/>
    </row>
    <row r="31" spans="2:18" s="3" customFormat="1" ht="18.95" customHeight="1" x14ac:dyDescent="0.3">
      <c r="B31" s="194"/>
      <c r="C31" s="188">
        <v>44519</v>
      </c>
      <c r="D31" s="189" t="s">
        <v>22</v>
      </c>
      <c r="E31" s="190" t="s">
        <v>170</v>
      </c>
      <c r="F31" s="194"/>
      <c r="G31" s="7"/>
      <c r="H31" s="119"/>
      <c r="I31" s="256"/>
      <c r="J31" s="256"/>
      <c r="K31" s="256"/>
      <c r="L31" s="119"/>
      <c r="N31" s="274"/>
      <c r="O31" s="274"/>
      <c r="P31" s="273"/>
      <c r="Q31" s="273"/>
      <c r="R31" s="7"/>
    </row>
    <row r="32" spans="2:18" s="3" customFormat="1" ht="18.95" customHeight="1" x14ac:dyDescent="0.3">
      <c r="B32" s="194"/>
      <c r="C32" s="188">
        <v>44520</v>
      </c>
      <c r="D32" s="189" t="s">
        <v>19</v>
      </c>
      <c r="E32" s="190" t="s">
        <v>162</v>
      </c>
      <c r="F32" s="194"/>
      <c r="G32" s="7"/>
      <c r="H32" s="119"/>
      <c r="I32" s="276" t="s">
        <v>71</v>
      </c>
      <c r="J32" s="276"/>
      <c r="K32" s="276"/>
      <c r="L32" s="119"/>
      <c r="N32" s="116"/>
      <c r="O32" s="116"/>
      <c r="P32" s="117"/>
      <c r="Q32" s="117"/>
      <c r="R32" s="7"/>
    </row>
    <row r="33" spans="2:18" s="3" customFormat="1" ht="18.95" customHeight="1" x14ac:dyDescent="0.3">
      <c r="B33" s="191"/>
      <c r="C33" s="188">
        <v>44537</v>
      </c>
      <c r="D33" s="189" t="s">
        <v>22</v>
      </c>
      <c r="E33" s="190" t="s">
        <v>171</v>
      </c>
      <c r="F33" s="192"/>
      <c r="G33" s="7"/>
      <c r="H33" s="119"/>
      <c r="I33" s="277" t="s">
        <v>72</v>
      </c>
      <c r="J33" s="277"/>
      <c r="K33" s="277"/>
      <c r="L33" s="119"/>
      <c r="M33" s="7"/>
      <c r="N33" s="116"/>
      <c r="O33" s="278" t="s">
        <v>31</v>
      </c>
      <c r="P33" s="278"/>
      <c r="Q33" s="117"/>
      <c r="R33" s="7"/>
    </row>
    <row r="34" spans="2:18" s="3" customFormat="1" ht="18.95" customHeight="1" x14ac:dyDescent="0.35">
      <c r="B34" s="191"/>
      <c r="C34" s="188">
        <v>44553</v>
      </c>
      <c r="D34" s="189" t="s">
        <v>24</v>
      </c>
      <c r="E34" s="190" t="s">
        <v>172</v>
      </c>
      <c r="F34" s="192"/>
      <c r="G34" s="7"/>
      <c r="H34" s="119"/>
      <c r="I34" s="275"/>
      <c r="J34" s="275"/>
      <c r="K34" s="275"/>
      <c r="L34" s="119"/>
      <c r="M34" s="7"/>
      <c r="N34" s="114"/>
      <c r="O34" s="122" t="s">
        <v>89</v>
      </c>
      <c r="P34" s="103" t="s">
        <v>90</v>
      </c>
      <c r="Q34" s="114"/>
      <c r="R34" s="7"/>
    </row>
    <row r="35" spans="2:18" s="3" customFormat="1" ht="18.95" customHeight="1" x14ac:dyDescent="0.35">
      <c r="B35" s="191"/>
      <c r="C35" s="188">
        <v>44554</v>
      </c>
      <c r="D35" s="189" t="s">
        <v>22</v>
      </c>
      <c r="E35" s="190" t="s">
        <v>173</v>
      </c>
      <c r="F35" s="192"/>
      <c r="G35" s="7"/>
      <c r="H35" s="119"/>
      <c r="I35" s="276" t="s">
        <v>70</v>
      </c>
      <c r="J35" s="276"/>
      <c r="K35" s="276"/>
      <c r="L35" s="119"/>
      <c r="M35" s="24"/>
      <c r="N35" s="114"/>
      <c r="O35" s="120"/>
      <c r="P35" s="121"/>
      <c r="Q35" s="114"/>
      <c r="R35" s="30"/>
    </row>
    <row r="36" spans="2:18" s="3" customFormat="1" ht="18.95" customHeight="1" x14ac:dyDescent="0.3">
      <c r="B36" s="191"/>
      <c r="C36" s="188">
        <v>44555</v>
      </c>
      <c r="D36" s="189" t="s">
        <v>19</v>
      </c>
      <c r="E36" s="190" t="s">
        <v>162</v>
      </c>
      <c r="F36" s="192"/>
      <c r="G36" s="7"/>
      <c r="H36" s="119"/>
      <c r="I36" s="277" t="s">
        <v>131</v>
      </c>
      <c r="J36" s="277"/>
      <c r="K36" s="277"/>
      <c r="L36" s="119"/>
      <c r="N36" s="123"/>
      <c r="O36" s="278" t="s">
        <v>92</v>
      </c>
      <c r="P36" s="278"/>
      <c r="Q36" s="114"/>
      <c r="R36" s="7"/>
    </row>
    <row r="37" spans="2:18" s="3" customFormat="1" ht="18.95" customHeight="1" x14ac:dyDescent="0.35">
      <c r="B37" s="191"/>
      <c r="C37" s="188">
        <v>44560</v>
      </c>
      <c r="D37" s="189" t="s">
        <v>24</v>
      </c>
      <c r="E37" s="190" t="s">
        <v>172</v>
      </c>
      <c r="F37" s="192"/>
      <c r="G37" s="7"/>
      <c r="H37" s="119"/>
      <c r="I37" s="277"/>
      <c r="J37" s="277"/>
      <c r="K37" s="277"/>
      <c r="L37" s="119"/>
      <c r="M37" s="7"/>
      <c r="N37" s="86"/>
      <c r="O37" s="122" t="s">
        <v>95</v>
      </c>
      <c r="P37" s="103" t="s">
        <v>93</v>
      </c>
      <c r="Q37" s="86"/>
      <c r="R37" s="7"/>
    </row>
    <row r="38" spans="2:18" s="3" customFormat="1" ht="18.95" customHeight="1" x14ac:dyDescent="0.35">
      <c r="B38" s="191"/>
      <c r="C38" s="188"/>
      <c r="D38" s="189"/>
      <c r="E38" s="190"/>
      <c r="F38" s="192"/>
      <c r="G38" s="7"/>
      <c r="H38" s="119"/>
      <c r="I38" s="251"/>
      <c r="J38" s="251"/>
      <c r="K38" s="251"/>
      <c r="L38" s="119"/>
      <c r="M38" s="7"/>
      <c r="N38" s="86"/>
      <c r="O38" s="122" t="s">
        <v>96</v>
      </c>
      <c r="P38" s="103" t="s">
        <v>94</v>
      </c>
      <c r="Q38" s="86"/>
      <c r="R38" s="7"/>
    </row>
    <row r="39" spans="2:18" s="3" customFormat="1" ht="18.95" customHeight="1" x14ac:dyDescent="0.3">
      <c r="B39" s="191"/>
      <c r="C39" s="188"/>
      <c r="D39" s="189"/>
      <c r="E39" s="190"/>
      <c r="F39" s="192"/>
      <c r="G39" s="7"/>
      <c r="H39" s="119"/>
      <c r="I39" s="276" t="s">
        <v>73</v>
      </c>
      <c r="J39" s="276"/>
      <c r="K39" s="276"/>
      <c r="L39" s="119"/>
      <c r="M39" s="7"/>
      <c r="N39" s="86"/>
      <c r="O39" s="86"/>
      <c r="P39" s="86"/>
      <c r="Q39" s="86"/>
      <c r="R39" s="7"/>
    </row>
    <row r="40" spans="2:18" s="3" customFormat="1" ht="18.95" customHeight="1" x14ac:dyDescent="0.3">
      <c r="B40" s="191"/>
      <c r="C40" s="188"/>
      <c r="D40" s="189"/>
      <c r="E40" s="190"/>
      <c r="F40" s="192"/>
      <c r="G40" s="7"/>
      <c r="H40" s="119"/>
      <c r="I40" s="276"/>
      <c r="J40" s="276"/>
      <c r="K40" s="276"/>
      <c r="L40" s="119"/>
      <c r="M40" s="14"/>
      <c r="N40" s="7"/>
      <c r="O40" s="7"/>
      <c r="P40" s="7"/>
      <c r="Q40" s="7"/>
      <c r="R40" s="7"/>
    </row>
    <row r="41" spans="2:18" s="3" customFormat="1" ht="18.95" customHeight="1" x14ac:dyDescent="0.3">
      <c r="B41" s="191"/>
      <c r="C41" s="188"/>
      <c r="D41" s="189"/>
      <c r="E41" s="190"/>
      <c r="F41" s="192"/>
      <c r="G41" s="7"/>
      <c r="H41" s="119"/>
      <c r="I41" s="277" t="s">
        <v>81</v>
      </c>
      <c r="J41" s="277"/>
      <c r="K41" s="277"/>
      <c r="L41" s="119"/>
      <c r="M41" s="14"/>
      <c r="N41" s="271" t="s">
        <v>65</v>
      </c>
      <c r="O41" s="271"/>
      <c r="P41" s="273"/>
      <c r="Q41" s="273"/>
      <c r="R41" s="7"/>
    </row>
    <row r="42" spans="2:18" s="3" customFormat="1" ht="18.95" customHeight="1" thickBot="1" x14ac:dyDescent="0.35">
      <c r="B42" s="191"/>
      <c r="C42" s="188"/>
      <c r="D42" s="189"/>
      <c r="E42" s="190"/>
      <c r="F42" s="192"/>
      <c r="G42" s="7"/>
      <c r="H42" s="119"/>
      <c r="I42" s="277"/>
      <c r="J42" s="277"/>
      <c r="K42" s="277"/>
      <c r="L42" s="119"/>
      <c r="M42" s="14"/>
      <c r="N42" s="272"/>
      <c r="O42" s="272"/>
      <c r="P42" s="273"/>
      <c r="Q42" s="273"/>
      <c r="R42" s="7"/>
    </row>
    <row r="43" spans="2:18" s="3" customFormat="1" ht="18.95" customHeight="1" x14ac:dyDescent="0.3">
      <c r="B43" s="191"/>
      <c r="C43" s="188"/>
      <c r="D43" s="189"/>
      <c r="E43" s="190"/>
      <c r="F43" s="192"/>
      <c r="G43" s="7"/>
      <c r="H43" s="119"/>
      <c r="I43" s="277"/>
      <c r="J43" s="277"/>
      <c r="K43" s="277"/>
      <c r="L43" s="119"/>
      <c r="M43" s="14"/>
      <c r="N43" s="274"/>
      <c r="O43" s="274"/>
      <c r="P43" s="273"/>
      <c r="Q43" s="273"/>
      <c r="R43" s="7"/>
    </row>
    <row r="44" spans="2:18" s="3" customFormat="1" ht="18.95" customHeight="1" x14ac:dyDescent="0.3">
      <c r="B44" s="191"/>
      <c r="C44" s="188"/>
      <c r="D44" s="189"/>
      <c r="E44" s="190"/>
      <c r="F44" s="192"/>
      <c r="G44" s="7"/>
      <c r="H44" s="119"/>
      <c r="I44" s="275"/>
      <c r="J44" s="275"/>
      <c r="K44" s="275"/>
      <c r="L44" s="119"/>
      <c r="M44" s="14"/>
      <c r="N44" s="116"/>
      <c r="O44" s="116"/>
      <c r="P44" s="117"/>
      <c r="Q44" s="117"/>
      <c r="R44" s="7"/>
    </row>
    <row r="45" spans="2:18" s="3" customFormat="1" ht="18.95" customHeight="1" x14ac:dyDescent="0.3">
      <c r="B45" s="191"/>
      <c r="C45" s="188"/>
      <c r="D45" s="189"/>
      <c r="E45" s="190"/>
      <c r="F45" s="192"/>
      <c r="G45" s="7"/>
      <c r="H45" s="119"/>
      <c r="I45" s="276" t="s">
        <v>132</v>
      </c>
      <c r="J45" s="276"/>
      <c r="K45" s="276"/>
      <c r="L45" s="119"/>
      <c r="M45" s="14"/>
      <c r="N45" s="116"/>
      <c r="O45" s="270" t="s">
        <v>91</v>
      </c>
      <c r="P45" s="270"/>
      <c r="Q45" s="117"/>
      <c r="R45" s="7"/>
    </row>
    <row r="46" spans="2:18" s="3" customFormat="1" ht="18.95" customHeight="1" x14ac:dyDescent="0.3">
      <c r="B46" s="191"/>
      <c r="C46" s="188"/>
      <c r="D46" s="189"/>
      <c r="E46" s="190"/>
      <c r="F46" s="192"/>
      <c r="G46" s="7"/>
      <c r="H46" s="119"/>
      <c r="I46" s="276"/>
      <c r="J46" s="276"/>
      <c r="K46" s="276"/>
      <c r="L46" s="119"/>
      <c r="M46" s="14"/>
      <c r="N46" s="114"/>
      <c r="O46" s="270"/>
      <c r="P46" s="270"/>
      <c r="Q46" s="114"/>
      <c r="R46" s="7"/>
    </row>
    <row r="47" spans="2:18" s="3" customFormat="1" ht="18.95" customHeight="1" x14ac:dyDescent="0.3">
      <c r="B47" s="191"/>
      <c r="C47" s="188"/>
      <c r="D47" s="189"/>
      <c r="E47" s="190"/>
      <c r="F47" s="192"/>
      <c r="G47" s="7"/>
      <c r="H47" s="119"/>
      <c r="I47" s="276"/>
      <c r="J47" s="276"/>
      <c r="K47" s="276"/>
      <c r="L47" s="119"/>
      <c r="M47" s="14"/>
      <c r="N47" s="114"/>
      <c r="O47" s="270"/>
      <c r="P47" s="270"/>
      <c r="Q47" s="114"/>
      <c r="R47" s="7"/>
    </row>
    <row r="48" spans="2:18" s="3" customFormat="1" ht="18.95" customHeight="1" x14ac:dyDescent="0.3">
      <c r="B48" s="191"/>
      <c r="C48" s="188"/>
      <c r="D48" s="189"/>
      <c r="E48" s="190"/>
      <c r="F48" s="192"/>
      <c r="G48" s="7"/>
      <c r="H48" s="119"/>
      <c r="I48" s="277" t="s">
        <v>133</v>
      </c>
      <c r="J48" s="277"/>
      <c r="K48" s="277"/>
      <c r="L48" s="119"/>
      <c r="M48" s="7"/>
      <c r="N48" s="114"/>
      <c r="O48" s="114"/>
      <c r="P48" s="114"/>
      <c r="Q48" s="114"/>
      <c r="R48" s="7"/>
    </row>
    <row r="49" spans="2:18" s="3" customFormat="1" ht="18.95" customHeight="1" x14ac:dyDescent="0.3">
      <c r="B49" s="191"/>
      <c r="C49" s="188"/>
      <c r="D49" s="189"/>
      <c r="E49" s="190"/>
      <c r="F49" s="192"/>
      <c r="G49" s="7"/>
      <c r="H49" s="119"/>
      <c r="I49" s="277"/>
      <c r="J49" s="277"/>
      <c r="K49" s="277"/>
      <c r="L49" s="119"/>
      <c r="M49" s="7"/>
      <c r="R49" s="7"/>
    </row>
    <row r="50" spans="2:18" s="3" customFormat="1" ht="18.95" customHeight="1" x14ac:dyDescent="0.3">
      <c r="B50" s="191"/>
      <c r="C50" s="188"/>
      <c r="D50" s="189"/>
      <c r="E50" s="190"/>
      <c r="F50" s="192"/>
      <c r="G50" s="7"/>
      <c r="H50" s="119"/>
      <c r="I50" s="251"/>
      <c r="J50" s="251"/>
      <c r="K50" s="251"/>
      <c r="L50" s="119"/>
      <c r="M50" s="7"/>
      <c r="N50" s="271" t="s">
        <v>66</v>
      </c>
      <c r="O50" s="271"/>
      <c r="P50" s="273" t="s">
        <v>69</v>
      </c>
      <c r="Q50" s="273"/>
      <c r="R50" s="7"/>
    </row>
    <row r="51" spans="2:18" s="3" customFormat="1" ht="18.95" customHeight="1" thickBot="1" x14ac:dyDescent="0.35">
      <c r="B51" s="191"/>
      <c r="C51" s="188"/>
      <c r="D51" s="189"/>
      <c r="E51" s="190"/>
      <c r="F51" s="192"/>
      <c r="G51" s="7"/>
      <c r="H51" s="119"/>
      <c r="I51" s="276" t="s">
        <v>134</v>
      </c>
      <c r="J51" s="276"/>
      <c r="K51" s="276"/>
      <c r="L51" s="119"/>
      <c r="M51" s="7"/>
      <c r="N51" s="272"/>
      <c r="O51" s="272"/>
      <c r="P51" s="273"/>
      <c r="Q51" s="273"/>
      <c r="R51" s="7"/>
    </row>
    <row r="52" spans="2:18" s="3" customFormat="1" ht="18.95" customHeight="1" x14ac:dyDescent="0.3">
      <c r="B52" s="191"/>
      <c r="C52" s="188"/>
      <c r="D52" s="189"/>
      <c r="E52" s="190"/>
      <c r="F52" s="192"/>
      <c r="G52" s="7"/>
      <c r="H52" s="119"/>
      <c r="I52" s="276"/>
      <c r="J52" s="276"/>
      <c r="K52" s="276"/>
      <c r="L52" s="119"/>
      <c r="M52" s="7"/>
      <c r="N52" s="274"/>
      <c r="O52" s="274"/>
      <c r="P52" s="273"/>
      <c r="Q52" s="273"/>
      <c r="R52" s="7"/>
    </row>
    <row r="53" spans="2:18" s="3" customFormat="1" ht="18.95" customHeight="1" x14ac:dyDescent="0.3">
      <c r="B53" s="191"/>
      <c r="C53" s="188"/>
      <c r="D53" s="189"/>
      <c r="E53" s="190"/>
      <c r="F53" s="192"/>
      <c r="G53" s="7"/>
      <c r="H53" s="119"/>
      <c r="I53" s="276"/>
      <c r="J53" s="276"/>
      <c r="K53" s="276"/>
      <c r="L53" s="119"/>
      <c r="M53" s="7"/>
      <c r="N53" s="114"/>
      <c r="O53" s="114"/>
      <c r="P53" s="114"/>
      <c r="Q53" s="114"/>
      <c r="R53" s="7"/>
    </row>
    <row r="54" spans="2:18" s="3" customFormat="1" ht="18.95" customHeight="1" x14ac:dyDescent="0.3">
      <c r="B54" s="191"/>
      <c r="C54" s="188"/>
      <c r="D54" s="189"/>
      <c r="E54" s="190"/>
      <c r="F54" s="192"/>
      <c r="G54" s="7"/>
      <c r="H54" s="119"/>
      <c r="I54" s="251"/>
      <c r="J54" s="251"/>
      <c r="K54" s="251"/>
      <c r="L54" s="119"/>
      <c r="M54" s="7"/>
      <c r="N54" s="114"/>
      <c r="O54" s="270" t="s">
        <v>144</v>
      </c>
      <c r="P54" s="270"/>
      <c r="Q54" s="114"/>
      <c r="R54" s="7"/>
    </row>
    <row r="55" spans="2:18" s="3" customFormat="1" ht="18.95" customHeight="1" x14ac:dyDescent="0.3">
      <c r="B55" s="191"/>
      <c r="C55" s="188"/>
      <c r="D55" s="189"/>
      <c r="E55" s="190"/>
      <c r="F55" s="192"/>
      <c r="G55" s="7"/>
      <c r="H55" s="119"/>
      <c r="I55" s="276" t="s">
        <v>135</v>
      </c>
      <c r="J55" s="276"/>
      <c r="K55" s="276"/>
      <c r="L55" s="119"/>
      <c r="M55" s="7"/>
      <c r="N55" s="114"/>
      <c r="O55" s="270"/>
      <c r="P55" s="270"/>
      <c r="Q55" s="114"/>
      <c r="R55" s="7"/>
    </row>
    <row r="56" spans="2:18" s="3" customFormat="1" ht="18.95" customHeight="1" x14ac:dyDescent="0.3">
      <c r="B56" s="191"/>
      <c r="C56" s="188"/>
      <c r="D56" s="189"/>
      <c r="E56" s="190"/>
      <c r="F56" s="192"/>
      <c r="G56" s="7"/>
      <c r="H56" s="119"/>
      <c r="I56" s="277" t="s">
        <v>136</v>
      </c>
      <c r="J56" s="277"/>
      <c r="K56" s="277"/>
      <c r="L56" s="119"/>
      <c r="M56" s="7"/>
      <c r="N56" s="114"/>
      <c r="O56" s="270"/>
      <c r="P56" s="270"/>
      <c r="Q56" s="114"/>
      <c r="R56" s="7"/>
    </row>
    <row r="57" spans="2:18" s="3" customFormat="1" ht="18.95" customHeight="1" x14ac:dyDescent="0.3">
      <c r="B57" s="191"/>
      <c r="C57" s="188"/>
      <c r="D57" s="189"/>
      <c r="E57" s="190"/>
      <c r="F57" s="192"/>
      <c r="G57" s="7"/>
      <c r="H57" s="119"/>
      <c r="I57" s="277"/>
      <c r="J57" s="277"/>
      <c r="K57" s="277"/>
      <c r="L57" s="119"/>
      <c r="M57" s="7"/>
      <c r="N57" s="114"/>
      <c r="O57" s="270"/>
      <c r="P57" s="270"/>
      <c r="Q57" s="114"/>
      <c r="R57" s="7"/>
    </row>
    <row r="58" spans="2:18" s="3" customFormat="1" ht="18.95" customHeight="1" x14ac:dyDescent="0.3">
      <c r="B58" s="191"/>
      <c r="C58" s="188"/>
      <c r="D58" s="189"/>
      <c r="E58" s="190"/>
      <c r="F58" s="192"/>
      <c r="G58" s="7"/>
      <c r="H58" s="119"/>
      <c r="I58" s="277"/>
      <c r="J58" s="277"/>
      <c r="K58" s="277"/>
      <c r="L58" s="119"/>
      <c r="M58" s="7"/>
      <c r="N58" s="114"/>
      <c r="O58" s="270"/>
      <c r="P58" s="270"/>
      <c r="Q58" s="114"/>
      <c r="R58" s="7"/>
    </row>
    <row r="59" spans="2:18" s="3" customFormat="1" ht="18.95" customHeight="1" x14ac:dyDescent="0.3">
      <c r="B59" s="191"/>
      <c r="C59" s="188"/>
      <c r="D59" s="189"/>
      <c r="E59" s="190"/>
      <c r="F59" s="192"/>
      <c r="G59" s="7"/>
      <c r="H59" s="119"/>
      <c r="I59" s="277"/>
      <c r="J59" s="277"/>
      <c r="K59" s="277"/>
      <c r="L59" s="119"/>
      <c r="M59" s="7"/>
      <c r="N59" s="114"/>
      <c r="O59" s="114"/>
      <c r="P59" s="118"/>
      <c r="Q59" s="114"/>
      <c r="R59" s="7"/>
    </row>
    <row r="60" spans="2:18" s="3" customFormat="1" ht="18.95" customHeight="1" x14ac:dyDescent="0.3">
      <c r="B60" s="191"/>
      <c r="C60" s="188"/>
      <c r="D60" s="189"/>
      <c r="E60" s="190"/>
      <c r="F60" s="192"/>
      <c r="G60" s="7"/>
      <c r="H60" s="119"/>
      <c r="I60" s="277"/>
      <c r="J60" s="277"/>
      <c r="K60" s="277"/>
      <c r="L60" s="119"/>
      <c r="M60" s="7"/>
      <c r="N60" s="114"/>
      <c r="O60" s="114" t="s">
        <v>68</v>
      </c>
      <c r="P60" s="118"/>
      <c r="Q60" s="114"/>
      <c r="R60" s="7"/>
    </row>
    <row r="61" spans="2:18" s="3" customFormat="1" ht="18.95" customHeight="1" x14ac:dyDescent="0.3">
      <c r="B61" s="191"/>
      <c r="C61" s="188"/>
      <c r="D61" s="189"/>
      <c r="E61" s="190"/>
      <c r="F61" s="192"/>
      <c r="G61" s="7"/>
      <c r="H61" s="119"/>
      <c r="I61" s="119"/>
      <c r="J61" s="119"/>
      <c r="K61" s="119"/>
      <c r="L61" s="119"/>
      <c r="M61" s="7"/>
      <c r="N61" s="114"/>
      <c r="O61" s="118" t="s">
        <v>67</v>
      </c>
      <c r="P61" s="118"/>
      <c r="Q61" s="114"/>
      <c r="R61" s="7"/>
    </row>
    <row r="62" spans="2:18" s="3" customFormat="1" ht="18.95" customHeight="1" x14ac:dyDescent="0.35">
      <c r="B62" s="191"/>
      <c r="C62" s="188"/>
      <c r="D62" s="189"/>
      <c r="E62" s="190"/>
      <c r="F62" s="192"/>
      <c r="G62" s="7"/>
      <c r="H62" s="119"/>
      <c r="I62" s="276" t="s">
        <v>82</v>
      </c>
      <c r="J62" s="276"/>
      <c r="K62" s="276"/>
      <c r="L62" s="119"/>
      <c r="M62" s="7"/>
      <c r="N62" s="114"/>
      <c r="O62" s="114" t="s">
        <v>125</v>
      </c>
      <c r="P62" s="114"/>
      <c r="Q62" s="115"/>
      <c r="R62" s="7"/>
    </row>
    <row r="63" spans="2:18" s="3" customFormat="1" ht="18.95" customHeight="1" x14ac:dyDescent="0.35">
      <c r="B63" s="191"/>
      <c r="C63" s="188"/>
      <c r="D63" s="189"/>
      <c r="E63" s="190"/>
      <c r="F63" s="192"/>
      <c r="G63" s="7"/>
      <c r="H63" s="119"/>
      <c r="I63" s="276"/>
      <c r="J63" s="276"/>
      <c r="K63" s="276"/>
      <c r="L63" s="119"/>
      <c r="M63" s="7"/>
      <c r="N63" s="114"/>
      <c r="O63" s="114"/>
      <c r="P63" s="114"/>
      <c r="Q63" s="115"/>
      <c r="R63" s="7"/>
    </row>
    <row r="64" spans="2:18" s="3" customFormat="1" ht="18.95" customHeight="1" x14ac:dyDescent="0.3">
      <c r="B64" s="191"/>
      <c r="C64" s="188"/>
      <c r="D64" s="189"/>
      <c r="E64" s="190"/>
      <c r="F64" s="192"/>
      <c r="G64" s="7"/>
      <c r="H64" s="119"/>
      <c r="I64" s="276"/>
      <c r="J64" s="276"/>
      <c r="K64" s="276"/>
      <c r="L64" s="119"/>
      <c r="M64" s="7"/>
      <c r="N64" s="252"/>
      <c r="O64" s="252"/>
      <c r="P64" s="253"/>
      <c r="Q64" s="252"/>
      <c r="R64" s="7"/>
    </row>
    <row r="65" spans="2:18" s="3" customFormat="1" ht="18.95" customHeight="1" x14ac:dyDescent="0.3">
      <c r="B65" s="191"/>
      <c r="C65" s="188"/>
      <c r="D65" s="189"/>
      <c r="E65" s="190"/>
      <c r="F65" s="192"/>
      <c r="G65" s="7"/>
      <c r="H65" s="119"/>
      <c r="I65" s="276"/>
      <c r="J65" s="276"/>
      <c r="K65" s="276"/>
      <c r="L65" s="119"/>
      <c r="M65" s="7"/>
      <c r="N65" s="271" t="s">
        <v>145</v>
      </c>
      <c r="O65" s="271"/>
      <c r="P65" s="273" t="s">
        <v>146</v>
      </c>
      <c r="Q65" s="273"/>
      <c r="R65" s="7"/>
    </row>
    <row r="66" spans="2:18" s="3" customFormat="1" ht="18.75" customHeight="1" thickBot="1" x14ac:dyDescent="0.35">
      <c r="B66" s="191"/>
      <c r="C66" s="188"/>
      <c r="D66" s="189"/>
      <c r="E66" s="190"/>
      <c r="F66" s="192"/>
      <c r="G66" s="7"/>
      <c r="H66" s="256"/>
      <c r="I66" s="275"/>
      <c r="J66" s="275"/>
      <c r="K66" s="275"/>
      <c r="L66" s="256"/>
      <c r="M66" s="7"/>
      <c r="N66" s="272"/>
      <c r="O66" s="272"/>
      <c r="P66" s="273"/>
      <c r="Q66" s="273"/>
      <c r="R66" s="7"/>
    </row>
    <row r="67" spans="2:18" s="3" customFormat="1" ht="18.75" customHeight="1" x14ac:dyDescent="0.3">
      <c r="B67" s="191"/>
      <c r="C67" s="188"/>
      <c r="D67" s="189"/>
      <c r="E67" s="190"/>
      <c r="F67" s="192"/>
      <c r="G67" s="7"/>
      <c r="H67" s="256"/>
      <c r="I67" s="276" t="s">
        <v>80</v>
      </c>
      <c r="J67" s="276"/>
      <c r="K67" s="276"/>
      <c r="L67" s="256"/>
      <c r="M67" s="7"/>
      <c r="N67" s="274"/>
      <c r="O67" s="274"/>
      <c r="P67" s="273"/>
      <c r="Q67" s="273"/>
      <c r="R67" s="7"/>
    </row>
    <row r="68" spans="2:18" s="3" customFormat="1" ht="18.75" customHeight="1" x14ac:dyDescent="0.3">
      <c r="B68" s="191"/>
      <c r="C68" s="188"/>
      <c r="D68" s="189"/>
      <c r="E68" s="190"/>
      <c r="F68" s="192"/>
      <c r="G68" s="7"/>
      <c r="H68" s="256"/>
      <c r="I68" s="119"/>
      <c r="J68" s="119"/>
      <c r="K68" s="119"/>
      <c r="L68" s="256"/>
      <c r="M68" s="7"/>
      <c r="N68" s="114"/>
      <c r="O68" s="114"/>
      <c r="P68" s="114"/>
      <c r="Q68" s="114"/>
      <c r="R68" s="7"/>
    </row>
    <row r="69" spans="2:18" s="3" customFormat="1" ht="18.75" x14ac:dyDescent="0.3">
      <c r="B69" s="191"/>
      <c r="C69" s="188"/>
      <c r="D69" s="189"/>
      <c r="E69" s="190"/>
      <c r="F69" s="192"/>
      <c r="G69" s="7"/>
      <c r="H69" s="256"/>
      <c r="I69" s="276" t="s">
        <v>142</v>
      </c>
      <c r="J69" s="276"/>
      <c r="K69" s="276"/>
      <c r="L69" s="256"/>
      <c r="M69" s="7"/>
      <c r="N69" s="114"/>
      <c r="O69" s="264" t="s">
        <v>148</v>
      </c>
      <c r="P69" s="114"/>
      <c r="Q69" s="114"/>
      <c r="R69" s="7"/>
    </row>
    <row r="70" spans="2:18" s="3" customFormat="1" ht="18.75" x14ac:dyDescent="0.3">
      <c r="B70" s="191"/>
      <c r="C70" s="188"/>
      <c r="D70" s="189"/>
      <c r="E70" s="190"/>
      <c r="F70" s="192"/>
      <c r="G70" s="7"/>
      <c r="H70" s="256"/>
      <c r="I70" s="277" t="s">
        <v>143</v>
      </c>
      <c r="J70" s="277"/>
      <c r="K70" s="277"/>
      <c r="L70" s="256"/>
      <c r="M70" s="7"/>
      <c r="N70" s="114"/>
      <c r="O70" s="269" t="s">
        <v>174</v>
      </c>
      <c r="P70" s="114"/>
      <c r="Q70" s="114"/>
      <c r="R70" s="7"/>
    </row>
    <row r="71" spans="2:18" s="3" customFormat="1" ht="18.75" x14ac:dyDescent="0.3">
      <c r="B71" s="191"/>
      <c r="C71" s="265"/>
      <c r="D71" s="266"/>
      <c r="E71" s="267"/>
      <c r="F71" s="192"/>
      <c r="G71" s="7"/>
      <c r="H71" s="256"/>
      <c r="I71" s="277"/>
      <c r="J71" s="277"/>
      <c r="K71" s="277"/>
      <c r="L71" s="256"/>
      <c r="M71" s="7"/>
      <c r="N71" s="114"/>
      <c r="O71" s="114"/>
      <c r="P71" s="114"/>
      <c r="Q71" s="114"/>
      <c r="R71" s="7"/>
    </row>
    <row r="72" spans="2:18" s="3" customFormat="1" ht="21" x14ac:dyDescent="0.35">
      <c r="B72" s="191"/>
      <c r="C72" s="265"/>
      <c r="D72" s="266"/>
      <c r="E72" s="267"/>
      <c r="F72" s="192"/>
      <c r="G72" s="7"/>
      <c r="H72" s="256"/>
      <c r="I72" s="256"/>
      <c r="J72" s="256"/>
      <c r="K72" s="256"/>
      <c r="L72" s="256"/>
      <c r="M72" s="7"/>
      <c r="N72" s="114"/>
      <c r="O72" s="263" t="s">
        <v>147</v>
      </c>
      <c r="P72" s="269" t="s">
        <v>175</v>
      </c>
      <c r="Q72" s="115"/>
      <c r="R72" s="7"/>
    </row>
    <row r="73" spans="2:18" s="3" customFormat="1" ht="21" x14ac:dyDescent="0.35">
      <c r="B73" s="191"/>
      <c r="C73" s="192"/>
      <c r="D73" s="192"/>
      <c r="E73" s="192"/>
      <c r="F73" s="192"/>
      <c r="G73" s="7"/>
      <c r="H73" s="256"/>
      <c r="I73" s="256"/>
      <c r="J73" s="256"/>
      <c r="K73" s="256"/>
      <c r="L73" s="256"/>
      <c r="M73" s="7"/>
      <c r="N73" s="114"/>
      <c r="O73" s="114"/>
      <c r="P73" s="114"/>
      <c r="Q73" s="115" t="s">
        <v>176</v>
      </c>
      <c r="R73" s="7"/>
    </row>
    <row r="74" spans="2:18" s="3" customFormat="1" ht="15.75" x14ac:dyDescent="0.25">
      <c r="B74" s="6"/>
      <c r="C74" s="7"/>
      <c r="D74" s="7"/>
      <c r="E74" s="7"/>
      <c r="F74" s="7"/>
      <c r="G74" s="7"/>
      <c r="H74" s="92"/>
      <c r="I74" s="92"/>
      <c r="J74" s="92"/>
      <c r="K74" s="92"/>
      <c r="L74" s="92"/>
      <c r="M74" s="7"/>
      <c r="N74" s="7"/>
      <c r="O74" s="7"/>
      <c r="P74" s="7"/>
      <c r="Q74" s="7"/>
      <c r="R74" s="7"/>
    </row>
    <row r="75" spans="2:18" s="3" customFormat="1" ht="15.75" x14ac:dyDescent="0.25">
      <c r="B75" s="6"/>
      <c r="C75" s="7"/>
      <c r="D75" s="7"/>
      <c r="E75" s="7"/>
      <c r="F75" s="7"/>
      <c r="G75" s="7"/>
      <c r="H75" s="92"/>
      <c r="I75" s="92"/>
      <c r="J75" s="92"/>
      <c r="K75" s="92"/>
      <c r="L75" s="92"/>
      <c r="M75" s="7"/>
      <c r="N75" s="7"/>
      <c r="O75" s="7"/>
      <c r="P75" s="7"/>
      <c r="Q75" s="7"/>
      <c r="R75" s="7"/>
    </row>
    <row r="76" spans="2:18" s="3" customFormat="1" ht="15.75" x14ac:dyDescent="0.25">
      <c r="B76" s="6"/>
      <c r="C76" s="7"/>
      <c r="D76" s="7"/>
      <c r="E76" s="7"/>
      <c r="F76" s="7"/>
      <c r="G76" s="7"/>
      <c r="H76" s="92"/>
      <c r="I76" s="92"/>
      <c r="J76" s="92"/>
      <c r="K76" s="92"/>
      <c r="L76" s="92"/>
      <c r="M76" s="7"/>
      <c r="N76" s="7"/>
      <c r="O76" s="7"/>
      <c r="P76" s="7"/>
      <c r="Q76" s="7"/>
      <c r="R76" s="7"/>
    </row>
    <row r="77" spans="2:18" s="3" customFormat="1" ht="15.75" x14ac:dyDescent="0.25">
      <c r="B77" s="6"/>
      <c r="C77" s="7"/>
      <c r="D77" s="7"/>
      <c r="E77" s="7"/>
      <c r="F77" s="7"/>
      <c r="G77" s="7"/>
      <c r="H77" s="92"/>
      <c r="I77" s="92"/>
      <c r="J77" s="92"/>
      <c r="K77" s="92"/>
      <c r="L77" s="92"/>
      <c r="M77" s="7"/>
      <c r="N77" s="7"/>
      <c r="O77" s="7"/>
      <c r="P77" s="7"/>
      <c r="Q77" s="7"/>
      <c r="R77" s="7"/>
    </row>
    <row r="78" spans="2:18" s="3" customFormat="1" ht="15.75" x14ac:dyDescent="0.25">
      <c r="B78" s="6"/>
      <c r="C78" s="7"/>
      <c r="D78" s="7"/>
      <c r="E78" s="7"/>
      <c r="F78" s="7"/>
      <c r="G78" s="7"/>
      <c r="H78" s="92"/>
      <c r="I78" s="92"/>
      <c r="J78" s="92"/>
      <c r="K78" s="92"/>
      <c r="L78" s="92"/>
      <c r="M78" s="7"/>
      <c r="N78" s="7"/>
      <c r="O78" s="7"/>
      <c r="P78" s="7"/>
      <c r="Q78" s="7"/>
      <c r="R78" s="7"/>
    </row>
    <row r="79" spans="2:18" s="3" customFormat="1" ht="15.75" x14ac:dyDescent="0.25">
      <c r="B79" s="6"/>
      <c r="C79" s="7"/>
      <c r="D79" s="7"/>
      <c r="E79" s="7"/>
      <c r="F79" s="7"/>
      <c r="G79" s="7"/>
      <c r="H79" s="92"/>
      <c r="I79" s="92"/>
      <c r="J79" s="92"/>
      <c r="K79" s="92"/>
      <c r="L79" s="92"/>
      <c r="M79" s="7"/>
      <c r="N79" s="7"/>
      <c r="O79" s="7"/>
      <c r="P79" s="7"/>
      <c r="Q79" s="7"/>
      <c r="R79" s="7"/>
    </row>
    <row r="80" spans="2:18" s="3" customFormat="1" ht="15.75" x14ac:dyDescent="0.25">
      <c r="B80" s="6"/>
      <c r="C80" s="7"/>
      <c r="D80" s="7"/>
      <c r="E80" s="7"/>
      <c r="F80" s="7"/>
      <c r="G80" s="7"/>
      <c r="H80" s="92"/>
      <c r="I80" s="92"/>
      <c r="J80" s="92"/>
      <c r="K80" s="92"/>
      <c r="L80" s="92"/>
      <c r="M80" s="7"/>
      <c r="N80" s="7"/>
      <c r="O80" s="7"/>
      <c r="P80" s="7"/>
      <c r="Q80" s="7"/>
      <c r="R80" s="7"/>
    </row>
    <row r="81" spans="2:18" s="3" customFormat="1" ht="15.75" x14ac:dyDescent="0.25">
      <c r="B81" s="6"/>
      <c r="C81" s="7"/>
      <c r="D81" s="7"/>
      <c r="E81" s="7"/>
      <c r="F81" s="7"/>
      <c r="G81" s="7"/>
      <c r="H81" s="92"/>
      <c r="I81" s="92"/>
      <c r="J81" s="92"/>
      <c r="K81" s="92"/>
      <c r="L81" s="92"/>
      <c r="M81" s="7"/>
      <c r="N81" s="7"/>
      <c r="O81" s="7"/>
      <c r="P81" s="7"/>
      <c r="Q81" s="7"/>
      <c r="R81" s="7"/>
    </row>
    <row r="82" spans="2:18" s="3" customFormat="1" ht="15.75" x14ac:dyDescent="0.25">
      <c r="B82" s="6"/>
      <c r="C82" s="7"/>
      <c r="D82" s="7"/>
      <c r="E82" s="7"/>
      <c r="F82" s="7"/>
      <c r="G82" s="7"/>
      <c r="H82" s="92"/>
      <c r="I82" s="92"/>
      <c r="J82" s="92"/>
      <c r="K82" s="92"/>
      <c r="L82" s="92"/>
      <c r="M82" s="7"/>
      <c r="N82" s="7"/>
      <c r="O82" s="7"/>
      <c r="P82" s="7"/>
      <c r="Q82" s="7"/>
      <c r="R82" s="7"/>
    </row>
    <row r="83" spans="2:18" s="3" customFormat="1" ht="15.75" x14ac:dyDescent="0.25">
      <c r="B83" s="6"/>
      <c r="C83" s="7"/>
      <c r="D83" s="7"/>
      <c r="E83" s="7"/>
      <c r="F83" s="7"/>
      <c r="G83" s="7"/>
      <c r="H83" s="92"/>
      <c r="I83" s="92"/>
      <c r="J83" s="92"/>
      <c r="K83" s="92"/>
      <c r="L83" s="92"/>
      <c r="M83" s="7"/>
      <c r="N83" s="7"/>
      <c r="O83" s="7"/>
      <c r="P83" s="7"/>
      <c r="Q83" s="7"/>
      <c r="R83" s="7"/>
    </row>
    <row r="84" spans="2:18" s="3" customFormat="1" ht="15.75" x14ac:dyDescent="0.25">
      <c r="B84" s="6"/>
      <c r="C84" s="7"/>
      <c r="D84" s="7"/>
      <c r="E84" s="7"/>
      <c r="F84" s="7"/>
      <c r="G84" s="7"/>
      <c r="H84" s="92"/>
      <c r="I84" s="92"/>
      <c r="J84" s="92"/>
      <c r="K84" s="92"/>
      <c r="L84" s="92"/>
      <c r="M84" s="7"/>
      <c r="N84" s="7"/>
      <c r="O84" s="7"/>
      <c r="P84" s="7"/>
      <c r="Q84" s="7"/>
      <c r="R84" s="7"/>
    </row>
    <row r="85" spans="2:18" s="3" customFormat="1" ht="15.75" x14ac:dyDescent="0.25">
      <c r="B85" s="6"/>
      <c r="C85" s="7"/>
      <c r="D85" s="7"/>
      <c r="E85" s="7"/>
      <c r="F85" s="7"/>
      <c r="G85" s="7"/>
      <c r="H85" s="92"/>
      <c r="I85" s="92"/>
      <c r="J85" s="92"/>
      <c r="K85" s="92"/>
      <c r="L85" s="92"/>
      <c r="M85" s="7"/>
      <c r="N85" s="7"/>
      <c r="O85" s="7"/>
      <c r="P85" s="7"/>
      <c r="Q85" s="7"/>
      <c r="R85" s="7"/>
    </row>
    <row r="86" spans="2:18" s="3" customFormat="1" ht="15.75" x14ac:dyDescent="0.25">
      <c r="B86" s="6"/>
      <c r="C86" s="7"/>
      <c r="D86" s="7"/>
      <c r="E86" s="7"/>
      <c r="F86" s="7"/>
      <c r="G86" s="7"/>
      <c r="H86" s="92"/>
      <c r="I86" s="92"/>
      <c r="J86" s="92"/>
      <c r="K86" s="92"/>
      <c r="L86" s="92"/>
      <c r="M86" s="7"/>
      <c r="N86" s="7"/>
      <c r="O86" s="7"/>
      <c r="P86" s="7"/>
      <c r="Q86" s="7"/>
      <c r="R86" s="7"/>
    </row>
    <row r="87" spans="2:18" s="3" customFormat="1" ht="15.75" x14ac:dyDescent="0.25">
      <c r="B87" s="6"/>
      <c r="C87" s="7"/>
      <c r="D87" s="7"/>
      <c r="E87" s="7"/>
      <c r="F87" s="7"/>
      <c r="G87" s="7"/>
      <c r="H87" s="92"/>
      <c r="I87" s="92"/>
      <c r="J87" s="92"/>
      <c r="K87" s="92"/>
      <c r="L87" s="92"/>
      <c r="M87" s="7"/>
      <c r="N87" s="7"/>
      <c r="O87" s="7"/>
      <c r="P87" s="7"/>
      <c r="Q87" s="7"/>
      <c r="R87" s="7"/>
    </row>
    <row r="88" spans="2:18" s="3" customFormat="1" ht="15.75" x14ac:dyDescent="0.25">
      <c r="B88" s="6"/>
      <c r="C88" s="7"/>
      <c r="D88" s="7"/>
      <c r="E88" s="7"/>
      <c r="F88" s="7"/>
      <c r="G88" s="7"/>
      <c r="H88" s="92"/>
      <c r="I88" s="92"/>
      <c r="J88" s="92"/>
      <c r="K88" s="92"/>
      <c r="L88" s="92"/>
      <c r="M88" s="7"/>
      <c r="N88" s="7"/>
      <c r="O88" s="7"/>
      <c r="P88" s="7"/>
      <c r="Q88" s="7"/>
      <c r="R88" s="7"/>
    </row>
    <row r="89" spans="2:18" s="3" customFormat="1" ht="15.75" x14ac:dyDescent="0.25">
      <c r="B89" s="6"/>
      <c r="C89" s="7"/>
      <c r="D89" s="7"/>
      <c r="E89" s="7"/>
      <c r="F89" s="7"/>
      <c r="G89" s="7"/>
      <c r="H89" s="92"/>
      <c r="I89" s="92"/>
      <c r="J89" s="92"/>
      <c r="K89" s="92"/>
      <c r="L89" s="92"/>
      <c r="M89" s="7"/>
      <c r="N89" s="7"/>
      <c r="O89" s="7"/>
      <c r="P89" s="7"/>
      <c r="Q89" s="7"/>
      <c r="R89" s="7"/>
    </row>
    <row r="90" spans="2:18" s="3" customFormat="1" ht="15.75" x14ac:dyDescent="0.25">
      <c r="B90" s="6"/>
      <c r="C90" s="7"/>
      <c r="D90" s="7"/>
      <c r="E90" s="7"/>
      <c r="F90" s="7"/>
      <c r="G90" s="7"/>
      <c r="H90" s="92"/>
      <c r="I90" s="92"/>
      <c r="J90" s="92"/>
      <c r="K90" s="92"/>
      <c r="L90" s="92"/>
      <c r="M90" s="7"/>
      <c r="N90" s="7"/>
      <c r="O90" s="7"/>
      <c r="P90" s="7"/>
      <c r="Q90" s="7"/>
      <c r="R90" s="7"/>
    </row>
    <row r="91" spans="2:18" s="3" customFormat="1" ht="15.75" x14ac:dyDescent="0.25">
      <c r="B91" s="6"/>
      <c r="C91" s="7"/>
      <c r="D91" s="7"/>
      <c r="E91" s="7"/>
      <c r="F91" s="7"/>
      <c r="G91" s="7"/>
      <c r="H91" s="92"/>
      <c r="I91" s="92"/>
      <c r="J91" s="92"/>
      <c r="K91" s="92"/>
      <c r="L91" s="92"/>
      <c r="M91" s="7"/>
      <c r="N91" s="7"/>
      <c r="O91" s="7"/>
      <c r="P91" s="7"/>
      <c r="Q91" s="7"/>
      <c r="R91" s="7"/>
    </row>
    <row r="92" spans="2:18" s="3" customFormat="1" ht="15.75" x14ac:dyDescent="0.25">
      <c r="B92" s="6"/>
      <c r="C92" s="7"/>
      <c r="D92" s="7"/>
      <c r="E92" s="7"/>
      <c r="F92" s="7"/>
      <c r="G92" s="7"/>
      <c r="H92" s="92"/>
      <c r="I92" s="92"/>
      <c r="J92" s="92"/>
      <c r="K92" s="92"/>
      <c r="L92" s="92"/>
      <c r="M92" s="7"/>
      <c r="N92" s="7"/>
      <c r="O92" s="7"/>
      <c r="P92" s="7"/>
      <c r="Q92" s="7"/>
      <c r="R92" s="7"/>
    </row>
    <row r="93" spans="2:18" s="3" customFormat="1" ht="15.75" x14ac:dyDescent="0.25">
      <c r="B93" s="6"/>
      <c r="C93" s="7"/>
      <c r="D93" s="7"/>
      <c r="E93" s="7"/>
      <c r="F93" s="7"/>
      <c r="G93" s="7"/>
      <c r="H93" s="92"/>
      <c r="I93" s="92"/>
      <c r="J93" s="92"/>
      <c r="K93" s="92"/>
      <c r="L93" s="92"/>
      <c r="M93" s="7"/>
      <c r="N93" s="7"/>
      <c r="O93" s="7"/>
      <c r="P93" s="7"/>
      <c r="Q93" s="7"/>
      <c r="R93" s="7"/>
    </row>
    <row r="94" spans="2:18" s="3" customFormat="1" ht="15.75" x14ac:dyDescent="0.25">
      <c r="B94" s="6"/>
      <c r="C94" s="7"/>
      <c r="D94" s="7"/>
      <c r="E94" s="7"/>
      <c r="F94" s="7"/>
      <c r="G94" s="7"/>
      <c r="H94" s="92"/>
      <c r="I94" s="92"/>
      <c r="J94" s="92"/>
      <c r="K94" s="92"/>
      <c r="L94" s="92"/>
      <c r="M94" s="7"/>
      <c r="N94" s="7"/>
      <c r="O94" s="7"/>
      <c r="P94" s="7"/>
      <c r="Q94" s="7"/>
      <c r="R94" s="7"/>
    </row>
    <row r="95" spans="2:18" s="3" customFormat="1" ht="15.75" x14ac:dyDescent="0.25">
      <c r="B95" s="6"/>
      <c r="C95" s="7"/>
      <c r="D95" s="7"/>
      <c r="E95" s="7"/>
      <c r="F95" s="7"/>
      <c r="G95" s="7"/>
      <c r="H95" s="92"/>
      <c r="I95" s="92"/>
      <c r="J95" s="92"/>
      <c r="K95" s="92"/>
      <c r="L95" s="92"/>
      <c r="M95" s="7"/>
      <c r="N95" s="7"/>
      <c r="O95" s="7"/>
      <c r="P95" s="7"/>
      <c r="Q95" s="7"/>
      <c r="R95" s="7"/>
    </row>
    <row r="96" spans="2:18" s="3" customFormat="1" ht="15.75" x14ac:dyDescent="0.25">
      <c r="B96" s="6"/>
      <c r="C96" s="7"/>
      <c r="D96" s="7"/>
      <c r="E96" s="7"/>
      <c r="F96" s="7"/>
      <c r="G96" s="7"/>
      <c r="H96" s="92"/>
      <c r="I96" s="92"/>
      <c r="J96" s="92"/>
      <c r="K96" s="92"/>
      <c r="L96" s="92"/>
      <c r="M96" s="7"/>
      <c r="N96" s="7"/>
      <c r="O96" s="7"/>
      <c r="P96" s="7"/>
      <c r="Q96" s="7"/>
      <c r="R96" s="7"/>
    </row>
    <row r="97" spans="2:18" s="3" customFormat="1" ht="15.75" x14ac:dyDescent="0.25">
      <c r="B97" s="6"/>
      <c r="C97" s="7"/>
      <c r="D97" s="7"/>
      <c r="E97" s="7"/>
      <c r="F97" s="7"/>
      <c r="G97" s="7"/>
      <c r="H97" s="92"/>
      <c r="I97" s="92"/>
      <c r="J97" s="92"/>
      <c r="K97" s="92"/>
      <c r="L97" s="92"/>
      <c r="M97" s="7"/>
      <c r="N97" s="7"/>
      <c r="O97" s="7"/>
      <c r="P97" s="7"/>
      <c r="Q97" s="7"/>
      <c r="R97" s="7"/>
    </row>
    <row r="98" spans="2:18" s="3" customFormat="1" ht="15.75" x14ac:dyDescent="0.25">
      <c r="B98" s="6"/>
      <c r="C98" s="7"/>
      <c r="D98" s="7"/>
      <c r="E98" s="7"/>
      <c r="F98" s="7"/>
      <c r="G98" s="7"/>
      <c r="H98" s="92"/>
      <c r="I98" s="92"/>
      <c r="J98" s="92"/>
      <c r="K98" s="92"/>
      <c r="L98" s="92"/>
      <c r="M98" s="7"/>
      <c r="N98" s="7"/>
      <c r="O98" s="7"/>
      <c r="P98" s="7"/>
      <c r="Q98" s="7"/>
      <c r="R98" s="7"/>
    </row>
    <row r="99" spans="2:18" s="3" customFormat="1" ht="15.75" x14ac:dyDescent="0.25">
      <c r="B99" s="6"/>
      <c r="C99" s="7"/>
      <c r="D99" s="7"/>
      <c r="E99" s="7"/>
      <c r="F99" s="7"/>
      <c r="G99" s="7"/>
      <c r="H99" s="92"/>
      <c r="I99" s="92"/>
      <c r="J99" s="92"/>
      <c r="K99" s="92"/>
      <c r="L99" s="92"/>
      <c r="M99" s="7"/>
      <c r="N99" s="7"/>
      <c r="O99" s="7"/>
      <c r="P99" s="7"/>
      <c r="Q99" s="7"/>
      <c r="R99" s="7"/>
    </row>
    <row r="100" spans="2:18" s="3" customFormat="1" ht="15.75" x14ac:dyDescent="0.25">
      <c r="B100" s="6"/>
      <c r="C100" s="7"/>
      <c r="D100" s="7"/>
      <c r="E100" s="7"/>
      <c r="F100" s="7"/>
      <c r="G100" s="7"/>
      <c r="H100" s="92"/>
      <c r="I100" s="92"/>
      <c r="J100" s="92"/>
      <c r="K100" s="92"/>
      <c r="L100" s="92"/>
      <c r="M100" s="7"/>
      <c r="N100" s="7"/>
      <c r="O100" s="7"/>
      <c r="P100" s="7"/>
      <c r="Q100" s="7"/>
      <c r="R100" s="7"/>
    </row>
    <row r="101" spans="2:18" s="3" customFormat="1" ht="15.75" x14ac:dyDescent="0.25">
      <c r="B101" s="6"/>
      <c r="C101" s="7"/>
      <c r="D101" s="7"/>
      <c r="E101" s="7"/>
      <c r="F101" s="7"/>
      <c r="G101" s="7"/>
      <c r="H101" s="92"/>
      <c r="I101" s="92"/>
      <c r="J101" s="92"/>
      <c r="K101" s="92"/>
      <c r="L101" s="92"/>
      <c r="M101" s="7"/>
      <c r="N101" s="7"/>
      <c r="O101" s="7"/>
      <c r="P101" s="7"/>
      <c r="Q101" s="7"/>
      <c r="R101" s="7"/>
    </row>
    <row r="102" spans="2:18" s="3" customFormat="1" ht="15.75" x14ac:dyDescent="0.25">
      <c r="B102" s="6"/>
      <c r="C102" s="7"/>
      <c r="D102" s="7"/>
      <c r="E102" s="7"/>
      <c r="F102" s="7"/>
      <c r="G102" s="7"/>
      <c r="H102" s="92"/>
      <c r="I102" s="92"/>
      <c r="J102" s="92"/>
      <c r="K102" s="92"/>
      <c r="L102" s="92"/>
      <c r="M102" s="7"/>
      <c r="N102" s="7"/>
      <c r="O102" s="7"/>
      <c r="P102" s="7"/>
      <c r="Q102" s="7"/>
      <c r="R102" s="7"/>
    </row>
    <row r="103" spans="2:18" s="3" customFormat="1" ht="15.75" x14ac:dyDescent="0.25">
      <c r="B103" s="6"/>
      <c r="C103" s="7"/>
      <c r="D103" s="7"/>
      <c r="E103" s="7"/>
      <c r="F103" s="7"/>
      <c r="G103" s="7"/>
      <c r="H103" s="92"/>
      <c r="I103" s="92"/>
      <c r="J103" s="92"/>
      <c r="K103" s="92"/>
      <c r="L103" s="92"/>
      <c r="M103" s="7"/>
      <c r="N103" s="7"/>
      <c r="O103" s="7"/>
      <c r="P103" s="7"/>
      <c r="Q103" s="7"/>
      <c r="R103" s="7"/>
    </row>
    <row r="104" spans="2:18" s="3" customFormat="1" ht="15.75" x14ac:dyDescent="0.25">
      <c r="B104" s="6"/>
      <c r="C104" s="7"/>
      <c r="D104" s="7"/>
      <c r="E104" s="7"/>
      <c r="F104" s="7"/>
      <c r="G104" s="7"/>
      <c r="H104" s="92"/>
      <c r="I104" s="92"/>
      <c r="J104" s="92"/>
      <c r="K104" s="92"/>
      <c r="L104" s="92"/>
      <c r="M104" s="7"/>
      <c r="N104" s="7"/>
      <c r="O104" s="7"/>
      <c r="P104" s="7"/>
      <c r="Q104" s="7"/>
      <c r="R104" s="7"/>
    </row>
    <row r="105" spans="2:18" s="3" customFormat="1" ht="15.75" x14ac:dyDescent="0.25">
      <c r="B105" s="6"/>
      <c r="C105" s="7"/>
      <c r="D105" s="7"/>
      <c r="E105" s="7"/>
      <c r="F105" s="7"/>
      <c r="G105" s="7"/>
      <c r="H105" s="92"/>
      <c r="I105" s="92"/>
      <c r="J105" s="92"/>
      <c r="K105" s="92"/>
      <c r="L105" s="92"/>
      <c r="M105" s="7"/>
      <c r="N105" s="7"/>
      <c r="O105" s="7"/>
      <c r="P105" s="7"/>
      <c r="Q105" s="7"/>
      <c r="R105" s="7"/>
    </row>
    <row r="106" spans="2:18" s="3" customFormat="1" ht="15.75" x14ac:dyDescent="0.25">
      <c r="B106" s="6"/>
      <c r="C106" s="7"/>
      <c r="D106" s="7"/>
      <c r="E106" s="7"/>
      <c r="F106" s="7"/>
      <c r="G106" s="7"/>
      <c r="H106" s="92"/>
      <c r="I106" s="92"/>
      <c r="J106" s="92"/>
      <c r="K106" s="92"/>
      <c r="L106" s="92"/>
      <c r="M106" s="7"/>
      <c r="N106" s="7"/>
      <c r="O106" s="7"/>
      <c r="P106" s="7"/>
      <c r="Q106" s="7"/>
      <c r="R106" s="7"/>
    </row>
    <row r="107" spans="2:18" s="3" customFormat="1" ht="15.75" x14ac:dyDescent="0.25">
      <c r="B107" s="6"/>
      <c r="C107" s="7"/>
      <c r="D107" s="7"/>
      <c r="E107" s="7"/>
      <c r="F107" s="7"/>
      <c r="G107" s="7"/>
      <c r="H107" s="92"/>
      <c r="I107" s="92"/>
      <c r="J107" s="92"/>
      <c r="K107" s="92"/>
      <c r="L107" s="92"/>
      <c r="M107" s="7"/>
      <c r="N107" s="7"/>
      <c r="O107" s="7"/>
      <c r="P107" s="7"/>
      <c r="Q107" s="7"/>
      <c r="R107" s="7"/>
    </row>
    <row r="108" spans="2:18" s="3" customFormat="1" ht="15.75" x14ac:dyDescent="0.25">
      <c r="B108" s="6"/>
      <c r="C108" s="7"/>
      <c r="D108" s="7"/>
      <c r="E108" s="7"/>
      <c r="F108" s="7"/>
      <c r="G108" s="7"/>
      <c r="H108" s="92"/>
      <c r="I108" s="92"/>
      <c r="J108" s="92"/>
      <c r="K108" s="92"/>
      <c r="L108" s="92"/>
      <c r="M108" s="7"/>
      <c r="N108" s="7"/>
      <c r="O108" s="7"/>
      <c r="P108" s="7"/>
      <c r="Q108" s="7"/>
      <c r="R108" s="7"/>
    </row>
    <row r="109" spans="2:18" s="3" customFormat="1" ht="15.75" x14ac:dyDescent="0.25">
      <c r="B109" s="6"/>
      <c r="C109" s="7"/>
      <c r="D109" s="7"/>
      <c r="E109" s="7"/>
      <c r="F109" s="7"/>
      <c r="G109" s="7"/>
      <c r="H109" s="92"/>
      <c r="I109" s="92"/>
      <c r="J109" s="92"/>
      <c r="K109" s="92"/>
      <c r="L109" s="92"/>
      <c r="M109" s="7"/>
      <c r="N109" s="7"/>
      <c r="O109" s="7"/>
      <c r="P109" s="7"/>
      <c r="Q109" s="7"/>
      <c r="R109" s="7"/>
    </row>
    <row r="110" spans="2:18" s="3" customFormat="1" ht="15.75" x14ac:dyDescent="0.25">
      <c r="B110" s="6"/>
      <c r="C110" s="7"/>
      <c r="D110" s="7"/>
      <c r="E110" s="7"/>
      <c r="F110" s="7"/>
      <c r="G110" s="7"/>
      <c r="H110" s="92"/>
      <c r="I110" s="92"/>
      <c r="J110" s="92"/>
      <c r="K110" s="92"/>
      <c r="L110" s="92"/>
      <c r="M110" s="7"/>
      <c r="N110" s="7"/>
      <c r="O110" s="7"/>
      <c r="P110" s="7"/>
      <c r="Q110" s="7"/>
      <c r="R110" s="7"/>
    </row>
    <row r="111" spans="2:18" s="3" customFormat="1" ht="15.75" x14ac:dyDescent="0.25">
      <c r="B111" s="6"/>
      <c r="C111" s="7"/>
      <c r="D111" s="7"/>
      <c r="E111" s="7"/>
      <c r="F111" s="7"/>
      <c r="G111" s="7"/>
      <c r="H111" s="92"/>
      <c r="I111" s="92"/>
      <c r="J111" s="92"/>
      <c r="K111" s="92"/>
      <c r="L111" s="92"/>
      <c r="M111" s="7"/>
      <c r="N111" s="7"/>
      <c r="O111" s="7"/>
      <c r="P111" s="7"/>
      <c r="Q111" s="7"/>
      <c r="R111" s="7"/>
    </row>
    <row r="112" spans="2:18" s="3" customFormat="1" ht="15.75" x14ac:dyDescent="0.25">
      <c r="B112" s="6"/>
      <c r="C112" s="7"/>
      <c r="D112" s="7"/>
      <c r="E112" s="7"/>
      <c r="F112" s="7"/>
      <c r="G112" s="7"/>
      <c r="H112" s="92"/>
      <c r="I112" s="92"/>
      <c r="J112" s="92"/>
      <c r="K112" s="92"/>
      <c r="L112" s="92"/>
      <c r="M112" s="7"/>
      <c r="N112" s="7"/>
      <c r="O112" s="7"/>
      <c r="P112" s="7"/>
      <c r="Q112" s="7"/>
      <c r="R112" s="7"/>
    </row>
    <row r="113" spans="2:18" s="3" customFormat="1" ht="15.75" x14ac:dyDescent="0.25">
      <c r="B113" s="6"/>
      <c r="C113" s="7"/>
      <c r="D113" s="7"/>
      <c r="E113" s="7"/>
      <c r="F113" s="7"/>
      <c r="G113" s="7"/>
      <c r="H113" s="92"/>
      <c r="I113" s="92"/>
      <c r="J113" s="92"/>
      <c r="K113" s="92"/>
      <c r="L113" s="92"/>
      <c r="M113" s="7"/>
      <c r="N113" s="7"/>
      <c r="O113" s="7"/>
      <c r="P113" s="7"/>
      <c r="Q113" s="7"/>
      <c r="R113" s="7"/>
    </row>
    <row r="114" spans="2:18" s="3" customFormat="1" ht="15.75" x14ac:dyDescent="0.25">
      <c r="B114" s="6"/>
      <c r="C114" s="7"/>
      <c r="D114" s="7"/>
      <c r="E114" s="7"/>
      <c r="F114" s="7"/>
      <c r="G114" s="7"/>
      <c r="H114" s="92"/>
      <c r="I114" s="92"/>
      <c r="J114" s="92"/>
      <c r="K114" s="92"/>
      <c r="L114" s="92"/>
      <c r="M114" s="7"/>
      <c r="N114" s="7"/>
      <c r="O114" s="7"/>
      <c r="P114" s="7"/>
      <c r="Q114" s="7"/>
      <c r="R114" s="7"/>
    </row>
    <row r="115" spans="2:18" s="3" customFormat="1" ht="15.75" x14ac:dyDescent="0.25">
      <c r="B115" s="6"/>
      <c r="C115" s="7"/>
      <c r="D115" s="7"/>
      <c r="E115" s="7"/>
      <c r="F115" s="7"/>
      <c r="G115" s="7"/>
      <c r="H115" s="92"/>
      <c r="I115" s="92"/>
      <c r="J115" s="92"/>
      <c r="K115" s="92"/>
      <c r="L115" s="92"/>
      <c r="M115" s="7"/>
      <c r="N115" s="7"/>
      <c r="O115" s="7"/>
      <c r="P115" s="7"/>
      <c r="Q115" s="7"/>
      <c r="R115" s="7"/>
    </row>
    <row r="116" spans="2:18" s="3" customFormat="1" ht="15.75" x14ac:dyDescent="0.25">
      <c r="B116" s="6"/>
      <c r="C116" s="7"/>
      <c r="D116" s="7"/>
      <c r="E116" s="7"/>
      <c r="F116" s="7"/>
      <c r="G116" s="7"/>
      <c r="H116" s="92"/>
      <c r="I116" s="92"/>
      <c r="J116" s="92"/>
      <c r="K116" s="92"/>
      <c r="L116" s="92"/>
      <c r="M116" s="7"/>
      <c r="N116" s="7"/>
      <c r="O116" s="7"/>
      <c r="P116" s="7"/>
      <c r="Q116" s="7"/>
      <c r="R116" s="7"/>
    </row>
    <row r="117" spans="2:18" s="3" customFormat="1" ht="15.75" x14ac:dyDescent="0.25">
      <c r="B117" s="6"/>
      <c r="C117" s="7"/>
      <c r="D117" s="7"/>
      <c r="E117" s="7"/>
      <c r="F117" s="7"/>
      <c r="G117" s="7"/>
      <c r="H117" s="92"/>
      <c r="I117" s="92"/>
      <c r="J117" s="92"/>
      <c r="K117" s="92"/>
      <c r="L117" s="92"/>
      <c r="M117" s="7"/>
      <c r="N117" s="7"/>
      <c r="O117" s="7"/>
      <c r="P117" s="7"/>
      <c r="Q117" s="7"/>
      <c r="R117" s="7"/>
    </row>
    <row r="118" spans="2:18" s="3" customFormat="1" ht="15.75" x14ac:dyDescent="0.25">
      <c r="B118" s="6"/>
      <c r="C118" s="7"/>
      <c r="D118" s="7"/>
      <c r="E118" s="7"/>
      <c r="F118" s="7"/>
      <c r="G118" s="7"/>
      <c r="H118" s="92"/>
      <c r="I118" s="92"/>
      <c r="J118" s="92"/>
      <c r="K118" s="92"/>
      <c r="L118" s="92"/>
      <c r="M118" s="7"/>
      <c r="N118" s="7"/>
      <c r="O118" s="7"/>
      <c r="P118" s="7"/>
      <c r="Q118" s="7"/>
      <c r="R118" s="7"/>
    </row>
    <row r="119" spans="2:18" s="3" customFormat="1" ht="15.75" x14ac:dyDescent="0.25">
      <c r="B119" s="6"/>
      <c r="C119" s="7"/>
      <c r="D119" s="7"/>
      <c r="E119" s="7"/>
      <c r="F119" s="7"/>
      <c r="G119" s="7"/>
      <c r="H119" s="92"/>
      <c r="I119" s="92"/>
      <c r="J119" s="92"/>
      <c r="K119" s="92"/>
      <c r="L119" s="92"/>
      <c r="M119" s="7"/>
      <c r="N119" s="7"/>
      <c r="O119" s="7"/>
      <c r="P119" s="7"/>
      <c r="Q119" s="7"/>
      <c r="R119" s="7"/>
    </row>
    <row r="120" spans="2:18" s="3" customFormat="1" ht="15.75" x14ac:dyDescent="0.25">
      <c r="B120" s="6"/>
      <c r="C120" s="7"/>
      <c r="D120" s="7"/>
      <c r="E120" s="7"/>
      <c r="F120" s="7"/>
      <c r="G120" s="7"/>
      <c r="H120" s="92"/>
      <c r="I120" s="92"/>
      <c r="J120" s="92"/>
      <c r="K120" s="92"/>
      <c r="L120" s="92"/>
      <c r="M120" s="7"/>
      <c r="N120" s="7"/>
      <c r="O120" s="7"/>
      <c r="P120" s="7"/>
      <c r="Q120" s="7"/>
      <c r="R120" s="7"/>
    </row>
    <row r="121" spans="2:18" s="3" customFormat="1" ht="15.75" x14ac:dyDescent="0.25">
      <c r="B121" s="6"/>
      <c r="C121" s="7"/>
      <c r="D121" s="7"/>
      <c r="E121" s="7"/>
      <c r="F121" s="7"/>
      <c r="G121" s="7"/>
      <c r="H121" s="92"/>
      <c r="I121" s="92"/>
      <c r="J121" s="92"/>
      <c r="K121" s="92"/>
      <c r="L121" s="92"/>
      <c r="M121" s="7"/>
      <c r="N121" s="7"/>
      <c r="O121" s="7"/>
      <c r="P121" s="7"/>
      <c r="Q121" s="7"/>
      <c r="R121" s="7"/>
    </row>
    <row r="122" spans="2:18" s="3" customFormat="1" ht="15.75" x14ac:dyDescent="0.25">
      <c r="B122" s="6"/>
      <c r="C122" s="7"/>
      <c r="D122" s="7"/>
      <c r="E122" s="7"/>
      <c r="F122" s="7"/>
      <c r="G122" s="7"/>
      <c r="H122" s="92"/>
      <c r="I122" s="92"/>
      <c r="J122" s="92"/>
      <c r="K122" s="92"/>
      <c r="L122" s="92"/>
      <c r="M122" s="7"/>
      <c r="N122" s="7"/>
      <c r="O122" s="7"/>
      <c r="P122" s="7"/>
      <c r="Q122" s="7"/>
      <c r="R122" s="7"/>
    </row>
    <row r="123" spans="2:18" s="3" customFormat="1" ht="15.75" x14ac:dyDescent="0.25">
      <c r="B123" s="6"/>
      <c r="C123" s="7"/>
      <c r="D123" s="7"/>
      <c r="E123" s="7"/>
      <c r="F123" s="7"/>
      <c r="G123" s="7"/>
      <c r="H123" s="92"/>
      <c r="I123" s="92"/>
      <c r="J123" s="92"/>
      <c r="K123" s="92"/>
      <c r="L123" s="92"/>
      <c r="M123" s="7"/>
      <c r="N123" s="7"/>
      <c r="O123" s="7"/>
      <c r="P123" s="7"/>
      <c r="Q123" s="7"/>
      <c r="R123" s="7"/>
    </row>
    <row r="124" spans="2:18" s="3" customFormat="1" ht="15.75" x14ac:dyDescent="0.25">
      <c r="B124" s="6"/>
      <c r="C124" s="7"/>
      <c r="D124" s="7"/>
      <c r="E124" s="7"/>
      <c r="F124" s="7"/>
      <c r="G124" s="7"/>
      <c r="H124" s="92"/>
      <c r="I124" s="92"/>
      <c r="J124" s="92"/>
      <c r="K124" s="92"/>
      <c r="L124" s="92"/>
      <c r="M124" s="7"/>
      <c r="N124" s="7"/>
      <c r="O124" s="7"/>
      <c r="P124" s="7"/>
      <c r="Q124" s="7"/>
      <c r="R124" s="7"/>
    </row>
    <row r="125" spans="2:18" s="3" customFormat="1" ht="15.75" x14ac:dyDescent="0.25">
      <c r="B125" s="6"/>
      <c r="C125" s="7"/>
      <c r="D125" s="7"/>
      <c r="E125" s="7"/>
      <c r="F125" s="7"/>
      <c r="G125" s="7"/>
      <c r="H125" s="92"/>
      <c r="I125" s="92"/>
      <c r="J125" s="92"/>
      <c r="K125" s="92"/>
      <c r="L125" s="92"/>
      <c r="M125" s="7"/>
      <c r="N125" s="7"/>
      <c r="O125" s="7"/>
      <c r="P125" s="7"/>
      <c r="Q125" s="7"/>
      <c r="R125" s="7"/>
    </row>
    <row r="126" spans="2:18" s="3" customFormat="1" ht="15.75" x14ac:dyDescent="0.25">
      <c r="B126" s="6"/>
      <c r="C126" s="7"/>
      <c r="D126" s="7"/>
      <c r="E126" s="7"/>
      <c r="F126" s="7"/>
      <c r="G126" s="7"/>
      <c r="H126" s="92"/>
      <c r="I126" s="92"/>
      <c r="J126" s="92"/>
      <c r="K126" s="92"/>
      <c r="L126" s="92"/>
      <c r="M126" s="7"/>
      <c r="N126" s="7"/>
      <c r="O126" s="7"/>
      <c r="P126" s="7"/>
      <c r="Q126" s="7"/>
      <c r="R126" s="7"/>
    </row>
    <row r="127" spans="2:18" s="3" customFormat="1" ht="15.75" x14ac:dyDescent="0.25">
      <c r="B127" s="6"/>
      <c r="C127" s="7"/>
      <c r="D127" s="7"/>
      <c r="E127" s="7"/>
      <c r="F127" s="7"/>
      <c r="G127" s="7"/>
      <c r="H127" s="92"/>
      <c r="I127" s="92"/>
      <c r="J127" s="92"/>
      <c r="K127" s="92"/>
      <c r="L127" s="92"/>
      <c r="M127" s="7"/>
      <c r="N127" s="7"/>
      <c r="O127" s="7"/>
      <c r="P127" s="7"/>
      <c r="Q127" s="7"/>
      <c r="R127" s="7"/>
    </row>
    <row r="128" spans="2:18" s="3" customFormat="1" ht="15.75" x14ac:dyDescent="0.25">
      <c r="B128" s="6"/>
      <c r="C128" s="7"/>
      <c r="D128" s="7"/>
      <c r="E128" s="7"/>
      <c r="F128" s="7"/>
      <c r="G128" s="7"/>
      <c r="H128" s="92"/>
      <c r="I128" s="92"/>
      <c r="J128" s="92"/>
      <c r="K128" s="92"/>
      <c r="L128" s="92"/>
      <c r="M128" s="7"/>
      <c r="N128" s="7"/>
      <c r="O128" s="7"/>
      <c r="P128" s="7"/>
      <c r="Q128" s="7"/>
      <c r="R128" s="7"/>
    </row>
    <row r="129" spans="2:18" s="3" customFormat="1" x14ac:dyDescent="0.2"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</row>
    <row r="130" spans="2:18" s="3" customFormat="1" x14ac:dyDescent="0.2"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</row>
    <row r="131" spans="2:18" s="3" customFormat="1" x14ac:dyDescent="0.2"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</row>
    <row r="132" spans="2:18" s="3" customFormat="1" x14ac:dyDescent="0.2"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</row>
    <row r="133" spans="2:18" s="3" customFormat="1" x14ac:dyDescent="0.2"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</row>
    <row r="134" spans="2:18" s="3" customFormat="1" x14ac:dyDescent="0.2"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</row>
    <row r="135" spans="2:18" s="3" customFormat="1" x14ac:dyDescent="0.2"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</row>
    <row r="136" spans="2:18" s="3" customFormat="1" x14ac:dyDescent="0.2"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</row>
    <row r="137" spans="2:18" s="3" customFormat="1" x14ac:dyDescent="0.2"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</row>
    <row r="138" spans="2:18" s="3" customFormat="1" x14ac:dyDescent="0.2"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</row>
    <row r="139" spans="2:18" s="3" customFormat="1" x14ac:dyDescent="0.2"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</row>
    <row r="140" spans="2:18" s="3" customFormat="1" x14ac:dyDescent="0.2"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</row>
    <row r="141" spans="2:18" s="3" customFormat="1" x14ac:dyDescent="0.2"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</row>
    <row r="142" spans="2:18" s="3" customFormat="1" x14ac:dyDescent="0.2"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</row>
    <row r="143" spans="2:18" s="3" customFormat="1" x14ac:dyDescent="0.2"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</row>
    <row r="144" spans="2:18" s="3" customFormat="1" x14ac:dyDescent="0.2"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</row>
    <row r="145" spans="2:18" s="3" customFormat="1" x14ac:dyDescent="0.2"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2:18" s="3" customFormat="1" x14ac:dyDescent="0.2"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</row>
    <row r="147" spans="2:18" s="3" customFormat="1" x14ac:dyDescent="0.2"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</row>
    <row r="148" spans="2:18" s="3" customFormat="1" x14ac:dyDescent="0.2"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</row>
    <row r="149" spans="2:18" s="3" customFormat="1" x14ac:dyDescent="0.2"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</row>
    <row r="150" spans="2:18" s="3" customFormat="1" x14ac:dyDescent="0.2"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</row>
    <row r="151" spans="2:18" s="3" customFormat="1" x14ac:dyDescent="0.2"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</row>
    <row r="152" spans="2:18" s="3" customFormat="1" x14ac:dyDescent="0.2"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</row>
    <row r="153" spans="2:18" s="3" customFormat="1" x14ac:dyDescent="0.2"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</row>
    <row r="154" spans="2:18" s="3" customFormat="1" x14ac:dyDescent="0.2"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</row>
    <row r="155" spans="2:18" s="3" customFormat="1" x14ac:dyDescent="0.2"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</row>
    <row r="156" spans="2:18" s="3" customFormat="1" x14ac:dyDescent="0.2"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</row>
    <row r="157" spans="2:18" s="3" customFormat="1" x14ac:dyDescent="0.2"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</row>
    <row r="158" spans="2:18" s="3" customFormat="1" x14ac:dyDescent="0.2"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</row>
    <row r="159" spans="2:18" s="3" customFormat="1" x14ac:dyDescent="0.2"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</row>
    <row r="160" spans="2:18" s="3" customFormat="1" x14ac:dyDescent="0.2"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</row>
    <row r="161" spans="2:18" s="3" customFormat="1" x14ac:dyDescent="0.2"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</row>
    <row r="162" spans="2:18" s="3" customFormat="1" x14ac:dyDescent="0.2"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</row>
    <row r="163" spans="2:18" s="3" customFormat="1" x14ac:dyDescent="0.2"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11"/>
      <c r="O163" s="11"/>
      <c r="P163" s="11"/>
      <c r="Q163" s="11"/>
      <c r="R163" s="7"/>
    </row>
    <row r="164" spans="2:18" s="3" customFormat="1" x14ac:dyDescent="0.2"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11"/>
      <c r="O164" s="11"/>
      <c r="P164" s="11"/>
      <c r="Q164" s="11"/>
      <c r="R164" s="7"/>
    </row>
    <row r="165" spans="2:18" s="3" customFormat="1" x14ac:dyDescent="0.2">
      <c r="B165" s="6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11"/>
      <c r="O165" s="11"/>
      <c r="P165" s="11"/>
      <c r="Q165" s="11"/>
      <c r="R165" s="7"/>
    </row>
    <row r="166" spans="2:18" s="3" customFormat="1" x14ac:dyDescent="0.2">
      <c r="B166" s="6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11"/>
      <c r="O166" s="11"/>
      <c r="P166" s="11"/>
      <c r="Q166" s="11"/>
      <c r="R166" s="7"/>
    </row>
    <row r="167" spans="2:18" s="3" customFormat="1" x14ac:dyDescent="0.2">
      <c r="B167" s="6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11"/>
      <c r="O167" s="11"/>
      <c r="P167" s="11"/>
      <c r="Q167" s="11"/>
      <c r="R167" s="7"/>
    </row>
    <row r="168" spans="2:18" s="3" customFormat="1" x14ac:dyDescent="0.2">
      <c r="B168" s="6"/>
      <c r="C168" s="7"/>
      <c r="D168" s="7"/>
      <c r="E168" s="7"/>
      <c r="F168" s="7"/>
      <c r="G168" s="7"/>
      <c r="H168" s="11"/>
      <c r="I168" s="11"/>
      <c r="J168" s="11"/>
      <c r="K168" s="11"/>
      <c r="L168" s="11"/>
      <c r="M168" s="7"/>
      <c r="N168" s="11"/>
      <c r="O168" s="11"/>
      <c r="P168" s="11"/>
      <c r="Q168" s="11"/>
      <c r="R168" s="7"/>
    </row>
    <row r="169" spans="2:18" s="3" customFormat="1" x14ac:dyDescent="0.2">
      <c r="B169" s="6"/>
      <c r="C169" s="7"/>
      <c r="D169" s="7"/>
      <c r="E169" s="7"/>
      <c r="F169" s="7"/>
      <c r="G169" s="7"/>
      <c r="H169" s="11"/>
      <c r="I169" s="11"/>
      <c r="J169" s="11"/>
      <c r="K169" s="11"/>
      <c r="L169" s="11"/>
      <c r="M169" s="7"/>
      <c r="N169" s="11"/>
      <c r="O169" s="11"/>
      <c r="P169" s="11"/>
      <c r="Q169" s="11"/>
      <c r="R169" s="7"/>
    </row>
  </sheetData>
  <sheetProtection scenarios="1" formatCells="0" formatColumns="0" formatRows="0"/>
  <protectedRanges>
    <protectedRange sqref="C13:E14 C15:E65" name="Calendário" securityDescriptor="O:WDG:WDD:(A;;CC;;;S-1-5-21-997557051-3595405816-2986045314-1001)"/>
    <protectedRange sqref="K6 K8 K10 K12 K14" name="Dados" securityDescriptor="O:WDG:WDD:(A;;CC;;;S-1-5-21-997557051-3595405816-2986045314-1001)"/>
  </protectedRanges>
  <dataConsolidate link="1"/>
  <mergeCells count="59">
    <mergeCell ref="B2:C2"/>
    <mergeCell ref="D2:F4"/>
    <mergeCell ref="B3:C4"/>
    <mergeCell ref="J2:L4"/>
    <mergeCell ref="I34:K34"/>
    <mergeCell ref="I27:K27"/>
    <mergeCell ref="I32:K32"/>
    <mergeCell ref="I33:K33"/>
    <mergeCell ref="H2:I2"/>
    <mergeCell ref="H3:I4"/>
    <mergeCell ref="I28:K29"/>
    <mergeCell ref="I30:K30"/>
    <mergeCell ref="K22:L26"/>
    <mergeCell ref="I6:J6"/>
    <mergeCell ref="I18:J18"/>
    <mergeCell ref="I16:J16"/>
    <mergeCell ref="I14:J14"/>
    <mergeCell ref="I12:J12"/>
    <mergeCell ref="I10:J10"/>
    <mergeCell ref="I8:J8"/>
    <mergeCell ref="B6:C7"/>
    <mergeCell ref="B8:C10"/>
    <mergeCell ref="D6:F10"/>
    <mergeCell ref="H22:J23"/>
    <mergeCell ref="H24:J26"/>
    <mergeCell ref="I56:K60"/>
    <mergeCell ref="I45:K47"/>
    <mergeCell ref="I51:K53"/>
    <mergeCell ref="I35:K35"/>
    <mergeCell ref="I36:K37"/>
    <mergeCell ref="I44:K44"/>
    <mergeCell ref="N2:O2"/>
    <mergeCell ref="P2:Q3"/>
    <mergeCell ref="N3:O3"/>
    <mergeCell ref="N29:O30"/>
    <mergeCell ref="P29:Q31"/>
    <mergeCell ref="N31:O31"/>
    <mergeCell ref="O33:P33"/>
    <mergeCell ref="O36:P36"/>
    <mergeCell ref="I39:K40"/>
    <mergeCell ref="I41:K43"/>
    <mergeCell ref="N43:O43"/>
    <mergeCell ref="P41:Q43"/>
    <mergeCell ref="N41:O42"/>
    <mergeCell ref="I69:K69"/>
    <mergeCell ref="I70:K71"/>
    <mergeCell ref="O54:P58"/>
    <mergeCell ref="N65:O66"/>
    <mergeCell ref="P65:Q67"/>
    <mergeCell ref="N67:O67"/>
    <mergeCell ref="I67:K67"/>
    <mergeCell ref="O45:P47"/>
    <mergeCell ref="N50:O51"/>
    <mergeCell ref="P50:Q52"/>
    <mergeCell ref="N52:O52"/>
    <mergeCell ref="I66:K66"/>
    <mergeCell ref="I62:K65"/>
    <mergeCell ref="I48:K49"/>
    <mergeCell ref="I55:K55"/>
  </mergeCells>
  <conditionalFormatting sqref="D13:D72">
    <cfRule type="expression" dxfId="569" priority="1">
      <formula>AND(NOT(ISBLANK($D13)),COUNTIF(Lista_tipo,$D13)=0)</formula>
    </cfRule>
  </conditionalFormatting>
  <conditionalFormatting sqref="C13:E72">
    <cfRule type="expression" dxfId="568" priority="2">
      <formula>$D13=FERIADO</formula>
    </cfRule>
    <cfRule type="expression" dxfId="567" priority="3">
      <formula>$D13=DISPENSADO</formula>
    </cfRule>
    <cfRule type="expression" dxfId="566" priority="4">
      <formula>$D13=FERIAS</formula>
    </cfRule>
    <cfRule type="expression" dxfId="565" priority="5">
      <formula>$D13=MEIO_COMPENSADO</formula>
    </cfRule>
    <cfRule type="expression" dxfId="564" priority="6">
      <formula>$D13=COMPENSADO</formula>
    </cfRule>
    <cfRule type="expression" dxfId="563" priority="7">
      <formula>$D13=EXPEDIENTE_CORRIDO</formula>
    </cfRule>
    <cfRule type="expression" dxfId="562" priority="8">
      <formula>OR(NOT(ISBLANK($C13:$E13)))</formula>
    </cfRule>
    <cfRule type="expression" dxfId="561" priority="9">
      <formula>AND(ISBLANK($C13:$E13))</formula>
    </cfRule>
  </conditionalFormatting>
  <dataValidations count="3">
    <dataValidation type="list" allowBlank="1" showInputMessage="1" showErrorMessage="1" sqref="K14" xr:uid="{00000000-0002-0000-0000-000000000000}">
      <formula1>"Comercial,Construção"</formula1>
    </dataValidation>
    <dataValidation type="date" operator="greaterThanOrEqual" allowBlank="1" showInputMessage="1" showErrorMessage="1" errorTitle="Dado inserido inválido!" error="A data inserida nessa célula precisa ser mais recente que 01/01/1980 e define o ano da planilha." promptTitle="Data principal" prompt="Data que define o ano da planilha." sqref="C13" xr:uid="{00000000-0002-0000-0000-000001000000}">
      <formula1>27759</formula1>
    </dataValidation>
    <dataValidation type="list" allowBlank="1" showInputMessage="1" showErrorMessage="1" errorTitle="Opção inválida" error="Este campo precisa conter uma das opções disponíveis na coluna TIPO na segunda tabela de Legendas ao lado." sqref="D13:D14 D15:D65" xr:uid="{00000000-0002-0000-0000-000002000000}">
      <formula1>Lista_tipo</formula1>
    </dataValidation>
  </dataValidations>
  <hyperlinks>
    <hyperlink ref="P72" r:id="rId1" display="CC-BY-SA-4.0" xr:uid="{FDA8F3B4-AC9F-418A-9758-717D18C92C36}"/>
    <hyperlink ref="O69" r:id="rId2" xr:uid="{A9DE72B6-D862-48B6-92F4-9B916BD932CB}"/>
    <hyperlink ref="O70" r:id="rId3" display="https://github.com/LeoneAC/controle-ponto-ETN" xr:uid="{ED59801F-69F0-4303-8440-8986C35628E9}"/>
  </hyperlinks>
  <pageMargins left="0.25" right="0.25" top="0.75" bottom="0.75" header="0.3" footer="0.3"/>
  <pageSetup paperSize="9" orientation="landscape" r:id="rId4"/>
  <headerFooter>
    <oddFooter>&amp;C_x000D_&amp;1#&amp;"Calibri"&amp;10&amp;K000000 (  X  ) Público    (   ) Interno  (   ) Setorial  (  ) Confidencial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7" name="Button 1">
              <controlPr defaultSize="0" print="0" autoFill="0" autoPict="0" macro="[0]!LimpaPlanilha">
                <anchor moveWithCells="1" sizeWithCells="1">
                  <from>
                    <xdr:col>3</xdr:col>
                    <xdr:colOff>342900</xdr:colOff>
                    <xdr:row>1</xdr:row>
                    <xdr:rowOff>152400</xdr:rowOff>
                  </from>
                  <to>
                    <xdr:col>4</xdr:col>
                    <xdr:colOff>885825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XEMPLO">
    <tabColor rgb="FF00B050"/>
  </sheetPr>
  <dimension ref="A1:BI170"/>
  <sheetViews>
    <sheetView zoomScale="70" zoomScaleNormal="70" workbookViewId="0"/>
  </sheetViews>
  <sheetFormatPr defaultRowHeight="12" x14ac:dyDescent="0.2"/>
  <cols>
    <col min="1" max="1" width="13" style="10" customWidth="1"/>
    <col min="2" max="2" width="22.7109375" style="10" bestFit="1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4" style="12" customWidth="1"/>
    <col min="27" max="27" width="10.85546875" style="5" customWidth="1"/>
    <col min="28" max="16384" width="9.140625" style="4"/>
  </cols>
  <sheetData>
    <row r="1" spans="1:27" s="3" customFormat="1" x14ac:dyDescent="0.2">
      <c r="A1" s="6"/>
      <c r="B1" s="6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8"/>
      <c r="Y1" s="37"/>
      <c r="Z1" s="8"/>
      <c r="AA1" s="9"/>
    </row>
    <row r="2" spans="1:27" s="3" customFormat="1" x14ac:dyDescent="0.2">
      <c r="A2" s="6"/>
      <c r="B2" s="6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  <c r="Y2" s="37"/>
      <c r="Z2" s="8"/>
      <c r="AA2" s="9"/>
    </row>
    <row r="3" spans="1:27" s="3" customFormat="1" x14ac:dyDescent="0.2">
      <c r="A3" s="6"/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8"/>
      <c r="Y3" s="37"/>
      <c r="Z3" s="8"/>
      <c r="AA3" s="9"/>
    </row>
    <row r="4" spans="1:27" s="3" customFormat="1" x14ac:dyDescent="0.2">
      <c r="A4" s="6"/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8"/>
      <c r="Y4" s="37"/>
      <c r="Z4" s="8"/>
      <c r="AA4" s="9"/>
    </row>
    <row r="5" spans="1:27" s="3" customFormat="1" x14ac:dyDescent="0.2">
      <c r="A5" s="6"/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8"/>
      <c r="Y5" s="37"/>
      <c r="Z5" s="8"/>
      <c r="AA5" s="9"/>
    </row>
    <row r="6" spans="1:27" s="3" customFormat="1" x14ac:dyDescent="0.2">
      <c r="A6" s="6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8"/>
      <c r="Y6" s="37"/>
      <c r="Z6" s="8"/>
      <c r="AA6" s="9"/>
    </row>
    <row r="7" spans="1:27" s="3" customFormat="1" x14ac:dyDescent="0.2">
      <c r="A7" s="6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8"/>
      <c r="Y7" s="37"/>
      <c r="Z7" s="8"/>
      <c r="AA7" s="9"/>
    </row>
    <row r="8" spans="1:27" s="3" customFormat="1" x14ac:dyDescent="0.2">
      <c r="A8" s="6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8"/>
      <c r="Y8" s="37"/>
      <c r="Z8" s="8"/>
      <c r="AA8" s="9"/>
    </row>
    <row r="9" spans="1:27" s="3" customFormat="1" x14ac:dyDescent="0.2">
      <c r="A9" s="6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8"/>
      <c r="Y9" s="37"/>
      <c r="Z9" s="8"/>
      <c r="AA9" s="9"/>
    </row>
    <row r="10" spans="1:27" s="3" customFormat="1" x14ac:dyDescent="0.2">
      <c r="A10" s="6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8"/>
      <c r="Y10" s="37"/>
      <c r="Z10" s="8"/>
      <c r="AA10" s="9"/>
    </row>
    <row r="11" spans="1:27" s="3" customFormat="1" x14ac:dyDescent="0.2">
      <c r="A11" s="6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8"/>
      <c r="Y11" s="37"/>
      <c r="Z11" s="8"/>
      <c r="AA11" s="9"/>
    </row>
    <row r="12" spans="1:27" s="3" customFormat="1" x14ac:dyDescent="0.2">
      <c r="A12" s="6"/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8"/>
      <c r="Y12" s="37"/>
      <c r="Z12" s="8"/>
      <c r="AA12" s="9"/>
    </row>
    <row r="13" spans="1:27" s="3" customFormat="1" x14ac:dyDescent="0.2">
      <c r="A13" s="6"/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8"/>
      <c r="Y13" s="37"/>
      <c r="Z13" s="8"/>
      <c r="AA13" s="9"/>
    </row>
    <row r="14" spans="1:27" s="3" customFormat="1" x14ac:dyDescent="0.2">
      <c r="A14" s="6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U14" s="7"/>
      <c r="V14" s="7"/>
      <c r="W14" s="7"/>
      <c r="X14" s="8"/>
      <c r="Y14" s="37"/>
      <c r="AA14" s="9"/>
    </row>
    <row r="15" spans="1:27" s="3" customFormat="1" x14ac:dyDescent="0.2">
      <c r="A15" s="6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8"/>
      <c r="Y15" s="37"/>
      <c r="Z15" s="8"/>
      <c r="AA15" s="9"/>
    </row>
    <row r="16" spans="1:27" s="3" customFormat="1" x14ac:dyDescent="0.2">
      <c r="A16" s="6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8"/>
      <c r="Y16" s="37"/>
      <c r="Z16" s="8"/>
      <c r="AA16" s="9"/>
    </row>
    <row r="17" spans="1:61" s="3" customFormat="1" x14ac:dyDescent="0.2">
      <c r="A17" s="6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8"/>
      <c r="Y17" s="37"/>
      <c r="Z17" s="8"/>
      <c r="AA17" s="9"/>
    </row>
    <row r="18" spans="1:61" s="3" customFormat="1" ht="12.75" thickBot="1" x14ac:dyDescent="0.25">
      <c r="A18" s="6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8"/>
      <c r="Y18" s="37"/>
      <c r="Z18" s="8"/>
      <c r="AA18" s="9"/>
    </row>
    <row r="19" spans="1:61" s="29" customFormat="1" ht="52.5" customHeight="1" thickBot="1" x14ac:dyDescent="0.3">
      <c r="A19" s="53" t="s">
        <v>138</v>
      </c>
      <c r="B19" s="54" t="s">
        <v>29</v>
      </c>
      <c r="C19" s="55" t="s">
        <v>0</v>
      </c>
      <c r="D19" s="56" t="s">
        <v>1</v>
      </c>
      <c r="E19" s="57" t="s">
        <v>18</v>
      </c>
      <c r="F19" s="57" t="s">
        <v>2</v>
      </c>
      <c r="G19" s="58" t="s">
        <v>3</v>
      </c>
      <c r="H19" s="59" t="s">
        <v>33</v>
      </c>
      <c r="I19" s="60" t="s">
        <v>35</v>
      </c>
      <c r="J19" s="60" t="s">
        <v>36</v>
      </c>
      <c r="K19" s="61" t="s">
        <v>34</v>
      </c>
      <c r="L19" s="62" t="s">
        <v>106</v>
      </c>
      <c r="M19" s="63" t="s">
        <v>4</v>
      </c>
      <c r="N19" s="63" t="s">
        <v>5</v>
      </c>
      <c r="O19" s="64" t="s">
        <v>41</v>
      </c>
      <c r="P19" s="65" t="s">
        <v>6</v>
      </c>
      <c r="Q19" s="66" t="s">
        <v>97</v>
      </c>
      <c r="R19" s="66" t="s">
        <v>84</v>
      </c>
      <c r="S19" s="258" t="s">
        <v>141</v>
      </c>
      <c r="T19" s="68" t="s">
        <v>7</v>
      </c>
      <c r="U19" s="81" t="s">
        <v>88</v>
      </c>
      <c r="V19" s="81" t="s">
        <v>87</v>
      </c>
      <c r="W19" s="81" t="s">
        <v>86</v>
      </c>
      <c r="X19" s="82" t="s">
        <v>85</v>
      </c>
      <c r="Y19" s="300" t="s">
        <v>117</v>
      </c>
      <c r="Z19" s="301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69" t="str">
        <f>PROPER(IF(WEEKDAY($C20,2)&gt;5,TEXT($C20,"dddd"),LEFT(TEXT($C20,"dddd"),LEN(TEXT($C20,"dddd"))-6)))</f>
        <v>Quarta</v>
      </c>
      <c r="B20" s="70" t="s">
        <v>24</v>
      </c>
      <c r="C20" s="71">
        <v>44196</v>
      </c>
      <c r="D20" s="45"/>
      <c r="E20" s="72"/>
      <c r="F20" s="72"/>
      <c r="G20" s="46"/>
      <c r="H20" s="47">
        <f t="shared" ref="H20:H35" si="0">IF($B20=FERIAS,
    0,
    IF(OR($B20=FIM_DE_SEMANA,$B20=FERIADO,$B20=DISPENSADO,$B20=MEIO_COMPENSADO),
        D20,
        IF(TIPO_DE_PONTO="Comercial",
            IF(D20&gt;"12:00"+0,
                I20,
                IF(AND(D20&gt;="7:00"+0,D20&lt;="7:35"+0),TIMEVALUE("7:30"),D20)),
            IF(AND(TIPO_DE_PONTO="Construção",$A20&lt;&gt;"Sexta"),
                IF(D20&gt;"11:45"+0,
                    I20,
                    IF(AND(D20&gt;="7:00"+0,D20&lt;="7:35"+0),TIMEVALUE("7:30"),D20)),
                IF(D20&gt;"11:45"+0,
                    I20,
                    IF(AND(D20&gt;="6:30"+0,D20&lt;="7:05"+0),TIMEVALUE("7:00"),D20))))))</f>
        <v>0</v>
      </c>
      <c r="I20" s="48">
        <f t="shared" ref="I20:I50" si="1">IF($B20=FERIAS,
    0,
    IF(OR($B20=FIM_DE_SEMANA,$B20=FERIADO,$B20=DISPENSADO,$B20=MEIO_COMPENSADO),
        $E20,
        IF(AND(ISBLANK($E20),ISBLANK($F20)),
            IF(AND(ISBLANK($D20),ISBLANK($G20)),
                $E20,
                IF($B20=EXPEDIENTE_CORRIDO,
                    0,
                    IF(TIPO_DE_PONTO="Comercial",
                        IF($G20&lt;="12:30"+0,
                            $G20,
                            IF($G20&lt;="13:30"+0,
                                TIMEVALUE("12:30"),
                                TIMEVALUE("12:00"))),
                        IF($A20&lt;&gt;"Sexta",
                            IF($G20&lt;="12:45"+0,
                                $G20,
                                IF($G20&lt;="13:45"+0,
                                    TIMEVALUE("12:45"),
                                    TIMEVALUE("11:45"))),
                            IF($G20&lt;="12:15"+0,
                                $G20,
                                IF($G20&lt;="13:15"+0,
                                    TIMEVALUE("12:15"),
                                    TIMEVALUE("11:45"))))))),
            IF(TIPO_DE_PONTO="Comercial",
                IF($E20&lt;"12:00"+0,
                    $E20,
                    IF($F20&gt;"13:30"+0,
                        IF($E20&gt;"12:30"+0,
                            TIMEVALUE("12:30"),
                            $E20),
                        IF(($F20-$E20)&lt;=TIMEVALUE("1:00"),
                            TIMEVALUE("12:00"),
                            $E20))),
                IF($A20&lt;&gt;"Sexta",
                    IF($E20&lt;"11:45"+0,
                        $E20,
                        IF($F20&gt;"13:45"+0,
                            IF($E20&gt;"12:45"+0,
                                TIMEVALUE("12:45"),
                                $E20),
                            IF(($F20-$E20)&lt;=TIMEVALUE("1:00"),
                                TIMEVALUE("12:00"),
                                $E20))),
                    IF($E20&lt;"11:45"+0,
                        $E20,
                        IF($F20&gt;"13:15"+0,
                            IF($E20&gt;"12:15"+0,
                                TIMEVALUE("12:15"),
                                $E20),
                            IF(($F20-$E20)&lt;=TIMEVALUE("1:00"),
                                TIMEVALUE("12:00"),
                                $E20))))))))</f>
        <v>0</v>
      </c>
      <c r="J20" s="48">
        <f t="shared" ref="J20:J50" si="2">IF($B20=FERIAS,
    0,
    IF(OR($B20=FIM_DE_SEMANA,$B20=FERIADO,$B20=DISPENSADO,$B20=MEIO_COMPENSADO),
        $F20,
        IF(AND(ISBLANK($E20),ISBLANK($F20)),
            IF(AND(ISBLANK($D20),ISBLANK($G20)),
                $F20,
                IF($B20=EXPEDIENTE_CORRIDO,
                    0,
                    IF(TIPO_DE_PONTO="Comercial",
                        IF($D20&gt;="13:00"+0,
                            $D20,
                            IF($D20&gt;="12:00"+0,
                                TIMEVALUE("13:00"),
                                TIMEVALUE("13:30"))),
                        IF($A20&lt;&gt;"Sexta",
                            IF($D20&gt;="12:45"+0,
                                $D20,
                                IF($D20&gt;="11:45"+0,
                                    TIMEVALUE("12:45"),
                                    TIMEVALUE("13:45"))),
                            IF($D20&gt;="12:45"+0,
                                $D20,
                                IF($D20&gt;="11:45"+0,
                                    TIMEVALUE("12:45"),
                                    TIMEVALUE("13:15"))))))),
            IF(TIPO_DE_PONTO="Comercial",
                IF($E20&lt;"12:00"+0,
                    IF($F20&lt;"13:00"+0,
                        TIMEVALUE("13:00"),
                        $F20),
                    IF($F20&gt;"13:30"+0,
                        $F20,
                        IF(($F20-$E20)&lt;=TIMEVALUE("1:00"),
                            TIMEVALUE("13:00"),
                            $F20))),
                IF($A20&lt;&gt;"Sexta",
                    IF($E20&lt;"11:45"+0,
                        IF($F20&lt;"12:45"+0,
                            TIMEVALUE("12:45"),
                            $F20),
                        IF($F20&gt;"13:45"+0,
                            $F20,
                            IF(($F20-$E20)&lt;=TIMEVALUE("1:00"),
                                TIMEVALUE("13:00"),
                                $F20))),
                    IF($E20&lt;"11:45"+0,
                        IF($F20&lt;"12:45"+0,
                            TIMEVALUE("12:45"),
                            $F20),
                        IF($F20&gt;"13:15"+0,
                            $F20,
                            IF(($F20-$E20)&lt;=TIMEVALUE("1:00"),
                                TIMEVALUE("13:00"),
                                $F20))))))))</f>
        <v>0</v>
      </c>
      <c r="K20" s="49">
        <f t="shared" ref="K20:K50" si="3">IF($B20=FERIAS,
    0,
    IF(OR($B20=FIM_DE_SEMANA,$B20=FERIADO,$B20=DISPENSADO,$B20=MEIO_COMPENSADO),
        G20,
        IF(AND($B20=EXPEDIENTE_CORRIDO,$E20=0,$F20=0),
            G20,
            IF(TIPO_DE_PONTO="Comercial",
                IF(G20&lt;"13:30"+0,
                    J20,
                    IF(AND(G20&gt;="16:55"+0,G20&lt;="17:00"+0),TIMEVALUE("17:00"),G20)),
                IF(AND(TIPO_DE_PONTO="Construção",$A20&lt;&gt;"Sexta"),
                    IF(G20&lt;"13:45"+0,
                        J20,
                        IF(AND(G20&gt;="17:25"+0,G20&lt;="17:30"+0),TIMEVALUE("17:30"),G20)),
                    IF(G20&lt;"13:15"+0,
                        J20,
                        IF(AND(G20&gt;="16:25"+0,G20&lt;="16:30"+0),TIMEVALUE("16:30"),G20)))))))</f>
        <v>0</v>
      </c>
      <c r="L20" s="73">
        <f>($I20-$H20)+($K20-$J20)</f>
        <v>0</v>
      </c>
      <c r="M20" s="74">
        <f t="shared" ref="M20:M50" si="4">IF(OR(L20=0,$B20=FIM_DE_SEMANA,$B20=FERIADO,$B20=DISPENSADO,$B20=MEIO_COMPENSADO),
       0,
       IF(AND(TIPO_DE_PONTO="Construção",$A20="Sexta"),
           "7:00"-H20,
           "7:30"-H20))</f>
        <v>0</v>
      </c>
      <c r="N20" s="74">
        <f t="shared" ref="N20:N50" si="5">IF(OR(L20=0,$B20=FIM_DE_SEMANA,$B20=FERIADO,$B20=DISPENSADO,$B20=MEIO_COMPENSADO),
   0,
   IF(TIPO_DE_PONTO="Comercial",
     IF(AND($B20=EXPEDIENTE_CORRIDO,$K20&lt;TIMEVALUE("17:00")),
       IF($K20&lt;TIMEVALUE("13:30"),
         TRUNC($K20-"13:30",6),
         0),
       TRUNC($K20-"17:00",6)),
     IF(AND(TIPO_DE_PONTO="Construção",$A20="Sexta"),
       IF(AND($B20=EXPEDIENTE_CORRIDO,$K20&lt;TIMEVALUE("16:30")),
         IF($K20&lt;TIMEVALUE("13:30"),
           TRUNC($K20-"13:00",6),
           0),
         TRUNC($K20-"16:30",6)),
       IF(AND($B20=EXPEDIENTE_CORRIDO,$K20&lt;TIMEVALUE("17:30")),
         IF($K20&lt;TIMEVALUE("13:30"),
           TRUNC($K20-"13:30",6),
           0),
         TRUNC($K20-"17:30",6)))))</f>
        <v>0</v>
      </c>
      <c r="O20" s="40">
        <f t="shared" ref="O20:O50" si="6">IF(OR(L20=0,$B20=FIM_DE_SEMANA,$B20=FERIADO,$B20=DISPENSADO,$B20=MEIO_COMPENSADO),
       0,
       IF(AND($B20=EXPEDIENTE_CORRIDO,AND(I20=0,J20=0)),
         0,
         IF(AND(TIPO_DE_PONTO="Construção",$A20&lt;&gt;"Sexta"),
           "02:00"-(J20-I20),
           "01:30"-(J20-I20))))</f>
        <v>0</v>
      </c>
      <c r="P20" s="75">
        <f>IF($L20=0,
      0,
      TRUNC((-1)*SUMIF($M20:$O20,"&lt;0")-Q20-S20-R20,6))</f>
        <v>0</v>
      </c>
      <c r="Q20" s="76"/>
      <c r="R20" s="77"/>
      <c r="S20" s="259"/>
      <c r="T20" s="75">
        <f t="shared" ref="T20:T50" si="7">IF(OR($B20=FIM_DE_SEMANA,$B20=FERIADO,$B20=DISPENSADO,$B20=MEIO_COMPENSADO),
       TRUNC($L20-U20-V20-W20-X20,6),
       TRUNC(SUMIF($M20:$O20,"&gt;0")-U20-V20-W20-X20,6))</f>
        <v>0</v>
      </c>
      <c r="U20" s="77"/>
      <c r="V20" s="77"/>
      <c r="W20" s="78"/>
      <c r="X20" s="177"/>
      <c r="Y20" s="162"/>
      <c r="Z20" s="152" t="s">
        <v>107</v>
      </c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ref="A21:A50" si="8">PROPER(IF(WEEKDAY($C21,2)&gt;5,TEXT($C21,"dddd"),LEFT(TEXT($C21,"dddd"),LEN(TEXT($C21,"dddd"))-6)))</f>
        <v>Quinta</v>
      </c>
      <c r="B21" s="34" t="s">
        <v>19</v>
      </c>
      <c r="C21" s="35">
        <f>IF(MONTH(C20+1)=MONTH(C20),C20+1,"")</f>
        <v>44197</v>
      </c>
      <c r="D21" s="50"/>
      <c r="E21" s="52"/>
      <c r="F21" s="52"/>
      <c r="G21" s="51"/>
      <c r="H21" s="47">
        <f t="shared" si="0"/>
        <v>0</v>
      </c>
      <c r="I21" s="48">
        <f t="shared" si="1"/>
        <v>0</v>
      </c>
      <c r="J21" s="48">
        <f t="shared" si="2"/>
        <v>0</v>
      </c>
      <c r="K21" s="49">
        <f t="shared" si="3"/>
        <v>0</v>
      </c>
      <c r="L21" s="73">
        <f t="shared" ref="L21:L50" si="9">($I21-$H21)+($K21-$J21)</f>
        <v>0</v>
      </c>
      <c r="M21" s="74">
        <f t="shared" si="4"/>
        <v>0</v>
      </c>
      <c r="N21" s="74">
        <f t="shared" si="5"/>
        <v>0</v>
      </c>
      <c r="O21" s="40">
        <f t="shared" si="6"/>
        <v>0</v>
      </c>
      <c r="P21" s="75">
        <f t="shared" ref="P21:P50" si="10">IF($L21=0,
      0,
      TRUNC((-1)*SUMIF($M21:$O21,"&lt;0")-Q21-S21-R21,6))</f>
        <v>0</v>
      </c>
      <c r="Q21" s="41"/>
      <c r="R21" s="42"/>
      <c r="S21" s="259"/>
      <c r="T21" s="75">
        <f t="shared" si="7"/>
        <v>0</v>
      </c>
      <c r="U21" s="42"/>
      <c r="V21" s="42"/>
      <c r="W21" s="42"/>
      <c r="X21" s="43"/>
      <c r="Y21" s="163"/>
      <c r="Z21" s="153" t="s">
        <v>103</v>
      </c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si="8"/>
        <v>Sexta</v>
      </c>
      <c r="B22" s="34" t="s">
        <v>23</v>
      </c>
      <c r="C22" s="35">
        <f t="shared" ref="C22:C50" si="11">IF(MONTH(C21+1)=MONTH(C21),C21+1,"")</f>
        <v>44198</v>
      </c>
      <c r="D22" s="50"/>
      <c r="E22" s="52"/>
      <c r="F22" s="52"/>
      <c r="G22" s="51"/>
      <c r="H22" s="47">
        <f t="shared" si="0"/>
        <v>0</v>
      </c>
      <c r="I22" s="48">
        <f t="shared" si="1"/>
        <v>0</v>
      </c>
      <c r="J22" s="48">
        <f t="shared" si="2"/>
        <v>0</v>
      </c>
      <c r="K22" s="49">
        <f t="shared" si="3"/>
        <v>0</v>
      </c>
      <c r="L22" s="73">
        <f t="shared" si="9"/>
        <v>0</v>
      </c>
      <c r="M22" s="74">
        <f t="shared" si="4"/>
        <v>0</v>
      </c>
      <c r="N22" s="74">
        <f t="shared" si="5"/>
        <v>0</v>
      </c>
      <c r="O22" s="40">
        <f t="shared" si="6"/>
        <v>0</v>
      </c>
      <c r="P22" s="75">
        <f t="shared" si="10"/>
        <v>0</v>
      </c>
      <c r="Q22" s="41"/>
      <c r="R22" s="42"/>
      <c r="S22" s="260"/>
      <c r="T22" s="75">
        <f t="shared" si="7"/>
        <v>0</v>
      </c>
      <c r="U22" s="42"/>
      <c r="V22" s="42"/>
      <c r="W22" s="44"/>
      <c r="X22" s="171"/>
      <c r="Y22" s="163"/>
      <c r="Z22" s="154" t="s">
        <v>102</v>
      </c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si="8"/>
        <v>Sábado</v>
      </c>
      <c r="B23" s="34" t="s">
        <v>22</v>
      </c>
      <c r="C23" s="35">
        <f t="shared" si="11"/>
        <v>44199</v>
      </c>
      <c r="D23" s="50"/>
      <c r="E23" s="52"/>
      <c r="F23" s="52"/>
      <c r="G23" s="51"/>
      <c r="H23" s="47">
        <f t="shared" si="0"/>
        <v>0</v>
      </c>
      <c r="I23" s="48">
        <f t="shared" si="1"/>
        <v>0</v>
      </c>
      <c r="J23" s="48">
        <f t="shared" si="2"/>
        <v>0</v>
      </c>
      <c r="K23" s="49">
        <f t="shared" si="3"/>
        <v>0</v>
      </c>
      <c r="L23" s="73">
        <f t="shared" si="9"/>
        <v>0</v>
      </c>
      <c r="M23" s="74">
        <f t="shared" si="4"/>
        <v>0</v>
      </c>
      <c r="N23" s="74">
        <f t="shared" si="5"/>
        <v>0</v>
      </c>
      <c r="O23" s="40">
        <f t="shared" si="6"/>
        <v>0</v>
      </c>
      <c r="P23" s="75">
        <f t="shared" si="10"/>
        <v>0</v>
      </c>
      <c r="Q23" s="41"/>
      <c r="R23" s="42"/>
      <c r="S23" s="260"/>
      <c r="T23" s="75">
        <f t="shared" si="7"/>
        <v>0</v>
      </c>
      <c r="U23" s="42"/>
      <c r="V23" s="42"/>
      <c r="W23" s="42"/>
      <c r="X23" s="43"/>
      <c r="Y23" s="163"/>
      <c r="Z23" s="154" t="s">
        <v>101</v>
      </c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si="8"/>
        <v>Domingo</v>
      </c>
      <c r="B24" s="34" t="s">
        <v>99</v>
      </c>
      <c r="C24" s="35">
        <f t="shared" si="11"/>
        <v>44200</v>
      </c>
      <c r="D24" s="50"/>
      <c r="E24" s="52"/>
      <c r="F24" s="52"/>
      <c r="G24" s="51"/>
      <c r="H24" s="47">
        <f t="shared" si="0"/>
        <v>0</v>
      </c>
      <c r="I24" s="48">
        <f t="shared" si="1"/>
        <v>0</v>
      </c>
      <c r="J24" s="48">
        <f t="shared" si="2"/>
        <v>0</v>
      </c>
      <c r="K24" s="49">
        <f t="shared" si="3"/>
        <v>0</v>
      </c>
      <c r="L24" s="73">
        <f t="shared" si="9"/>
        <v>0</v>
      </c>
      <c r="M24" s="74">
        <f t="shared" si="4"/>
        <v>0</v>
      </c>
      <c r="N24" s="74">
        <f t="shared" si="5"/>
        <v>0</v>
      </c>
      <c r="O24" s="40">
        <f t="shared" si="6"/>
        <v>0</v>
      </c>
      <c r="P24" s="75">
        <f t="shared" si="10"/>
        <v>0</v>
      </c>
      <c r="Q24" s="41"/>
      <c r="R24" s="42"/>
      <c r="S24" s="260"/>
      <c r="T24" s="75">
        <f t="shared" si="7"/>
        <v>0</v>
      </c>
      <c r="U24" s="42"/>
      <c r="V24" s="42"/>
      <c r="W24" s="42"/>
      <c r="X24" s="43"/>
      <c r="Y24" s="163"/>
      <c r="Z24" s="154" t="s">
        <v>104</v>
      </c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si="8"/>
        <v>Segunda</v>
      </c>
      <c r="B25" s="34" t="s">
        <v>98</v>
      </c>
      <c r="C25" s="35">
        <f t="shared" si="11"/>
        <v>44201</v>
      </c>
      <c r="D25" s="50">
        <v>0.3125</v>
      </c>
      <c r="E25" s="52"/>
      <c r="F25" s="52"/>
      <c r="G25" s="51">
        <v>0.70833333333333337</v>
      </c>
      <c r="H25" s="47">
        <f t="shared" si="0"/>
        <v>0.3125</v>
      </c>
      <c r="I25" s="48">
        <f t="shared" si="1"/>
        <v>0.5</v>
      </c>
      <c r="J25" s="48">
        <f t="shared" si="2"/>
        <v>0.5625</v>
      </c>
      <c r="K25" s="49">
        <f t="shared" si="3"/>
        <v>0.70833333333333337</v>
      </c>
      <c r="L25" s="73">
        <f t="shared" si="9"/>
        <v>0.33333333333333337</v>
      </c>
      <c r="M25" s="74">
        <f t="shared" si="4"/>
        <v>0</v>
      </c>
      <c r="N25" s="74">
        <f t="shared" si="5"/>
        <v>0</v>
      </c>
      <c r="O25" s="40">
        <f t="shared" si="6"/>
        <v>0</v>
      </c>
      <c r="P25" s="75">
        <f t="shared" si="10"/>
        <v>0</v>
      </c>
      <c r="Q25" s="41"/>
      <c r="R25" s="42"/>
      <c r="S25" s="260"/>
      <c r="T25" s="75">
        <f t="shared" si="7"/>
        <v>0</v>
      </c>
      <c r="U25" s="42"/>
      <c r="V25" s="42"/>
      <c r="W25" s="42"/>
      <c r="X25" s="43"/>
      <c r="Y25" s="163"/>
      <c r="Z25" s="154" t="s">
        <v>110</v>
      </c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si="8"/>
        <v>Terça</v>
      </c>
      <c r="B26" s="34" t="s">
        <v>32</v>
      </c>
      <c r="C26" s="35">
        <f t="shared" si="11"/>
        <v>44202</v>
      </c>
      <c r="D26" s="50">
        <v>0.3125</v>
      </c>
      <c r="E26" s="52"/>
      <c r="F26" s="52"/>
      <c r="G26" s="51">
        <v>0.5625</v>
      </c>
      <c r="H26" s="47">
        <f t="shared" si="0"/>
        <v>0.3125</v>
      </c>
      <c r="I26" s="48">
        <f t="shared" si="1"/>
        <v>0</v>
      </c>
      <c r="J26" s="48">
        <f t="shared" si="2"/>
        <v>0</v>
      </c>
      <c r="K26" s="49">
        <f t="shared" si="3"/>
        <v>0.5625</v>
      </c>
      <c r="L26" s="73">
        <f t="shared" si="9"/>
        <v>0.25</v>
      </c>
      <c r="M26" s="74">
        <f t="shared" si="4"/>
        <v>0</v>
      </c>
      <c r="N26" s="74">
        <f t="shared" si="5"/>
        <v>0</v>
      </c>
      <c r="O26" s="40">
        <f t="shared" si="6"/>
        <v>0</v>
      </c>
      <c r="P26" s="75">
        <f t="shared" si="10"/>
        <v>0</v>
      </c>
      <c r="Q26" s="41"/>
      <c r="R26" s="42"/>
      <c r="S26" s="260"/>
      <c r="T26" s="75">
        <f t="shared" si="7"/>
        <v>0</v>
      </c>
      <c r="U26" s="42"/>
      <c r="V26" s="42"/>
      <c r="W26" s="44"/>
      <c r="X26" s="171"/>
      <c r="Y26" s="163"/>
      <c r="Z26" s="154" t="s">
        <v>109</v>
      </c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si="8"/>
        <v>Quarta</v>
      </c>
      <c r="B27" s="34" t="s">
        <v>126</v>
      </c>
      <c r="C27" s="35">
        <f t="shared" si="11"/>
        <v>44203</v>
      </c>
      <c r="D27" s="50"/>
      <c r="E27" s="52"/>
      <c r="F27" s="52"/>
      <c r="G27" s="51"/>
      <c r="H27" s="47">
        <f t="shared" si="0"/>
        <v>0</v>
      </c>
      <c r="I27" s="48">
        <f t="shared" si="1"/>
        <v>0</v>
      </c>
      <c r="J27" s="48">
        <f t="shared" si="2"/>
        <v>0</v>
      </c>
      <c r="K27" s="49">
        <f t="shared" si="3"/>
        <v>0</v>
      </c>
      <c r="L27" s="73">
        <f t="shared" si="9"/>
        <v>0</v>
      </c>
      <c r="M27" s="74">
        <f t="shared" si="4"/>
        <v>0</v>
      </c>
      <c r="N27" s="74">
        <f t="shared" si="5"/>
        <v>0</v>
      </c>
      <c r="O27" s="40">
        <f t="shared" si="6"/>
        <v>0</v>
      </c>
      <c r="P27" s="75">
        <f t="shared" si="10"/>
        <v>0</v>
      </c>
      <c r="Q27" s="41"/>
      <c r="R27" s="42"/>
      <c r="S27" s="260"/>
      <c r="T27" s="75">
        <f t="shared" si="7"/>
        <v>0</v>
      </c>
      <c r="U27" s="42"/>
      <c r="V27" s="42"/>
      <c r="W27" s="44"/>
      <c r="X27" s="171"/>
      <c r="Y27" s="163"/>
      <c r="Z27" s="154" t="s">
        <v>127</v>
      </c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si="8"/>
        <v>Quinta</v>
      </c>
      <c r="B28" s="34" t="s">
        <v>98</v>
      </c>
      <c r="C28" s="35">
        <f t="shared" si="11"/>
        <v>44204</v>
      </c>
      <c r="D28" s="50"/>
      <c r="E28" s="52"/>
      <c r="F28" s="52"/>
      <c r="G28" s="51"/>
      <c r="H28" s="47">
        <f t="shared" si="0"/>
        <v>0</v>
      </c>
      <c r="I28" s="48">
        <f t="shared" si="1"/>
        <v>0</v>
      </c>
      <c r="J28" s="48">
        <f t="shared" si="2"/>
        <v>0</v>
      </c>
      <c r="K28" s="49">
        <f t="shared" si="3"/>
        <v>0</v>
      </c>
      <c r="L28" s="73">
        <f t="shared" si="9"/>
        <v>0</v>
      </c>
      <c r="M28" s="74">
        <f t="shared" si="4"/>
        <v>0</v>
      </c>
      <c r="N28" s="74">
        <f t="shared" si="5"/>
        <v>0</v>
      </c>
      <c r="O28" s="40">
        <f t="shared" si="6"/>
        <v>0</v>
      </c>
      <c r="P28" s="75">
        <f t="shared" si="10"/>
        <v>0</v>
      </c>
      <c r="Q28" s="41"/>
      <c r="R28" s="42"/>
      <c r="S28" s="260"/>
      <c r="T28" s="75">
        <f t="shared" si="7"/>
        <v>0</v>
      </c>
      <c r="U28" s="42"/>
      <c r="V28" s="42"/>
      <c r="W28" s="42"/>
      <c r="X28" s="43"/>
      <c r="Y28" s="163"/>
      <c r="Z28" s="154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9" customFormat="1" ht="15.75" x14ac:dyDescent="0.25">
      <c r="A29" s="33" t="str">
        <f t="shared" si="8"/>
        <v>Sexta</v>
      </c>
      <c r="B29" s="34" t="s">
        <v>98</v>
      </c>
      <c r="C29" s="35">
        <f t="shared" si="11"/>
        <v>44205</v>
      </c>
      <c r="D29" s="50"/>
      <c r="E29" s="52"/>
      <c r="F29" s="52"/>
      <c r="G29" s="51"/>
      <c r="H29" s="47">
        <f t="shared" si="0"/>
        <v>0</v>
      </c>
      <c r="I29" s="48">
        <f t="shared" si="1"/>
        <v>0</v>
      </c>
      <c r="J29" s="48">
        <f t="shared" si="2"/>
        <v>0</v>
      </c>
      <c r="K29" s="49">
        <f t="shared" si="3"/>
        <v>0</v>
      </c>
      <c r="L29" s="73">
        <f t="shared" si="9"/>
        <v>0</v>
      </c>
      <c r="M29" s="74">
        <f t="shared" si="4"/>
        <v>0</v>
      </c>
      <c r="N29" s="74">
        <f t="shared" si="5"/>
        <v>0</v>
      </c>
      <c r="O29" s="40">
        <f t="shared" si="6"/>
        <v>0</v>
      </c>
      <c r="P29" s="75">
        <f t="shared" si="10"/>
        <v>0</v>
      </c>
      <c r="Q29" s="41">
        <v>0.33333333333333331</v>
      </c>
      <c r="R29" s="42"/>
      <c r="S29" s="260"/>
      <c r="T29" s="75">
        <f t="shared" si="7"/>
        <v>0</v>
      </c>
      <c r="U29" s="42"/>
      <c r="V29" s="42"/>
      <c r="W29" s="42"/>
      <c r="X29" s="43"/>
      <c r="Y29" s="163"/>
      <c r="Z29" s="154" t="s">
        <v>119</v>
      </c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</row>
    <row r="30" spans="1:61" s="29" customFormat="1" ht="15.75" x14ac:dyDescent="0.25">
      <c r="A30" s="33" t="str">
        <f t="shared" si="8"/>
        <v>Sábado</v>
      </c>
      <c r="B30" s="34" t="s">
        <v>99</v>
      </c>
      <c r="C30" s="35">
        <f t="shared" si="11"/>
        <v>44206</v>
      </c>
      <c r="D30" s="50"/>
      <c r="E30" s="52"/>
      <c r="F30" s="52"/>
      <c r="G30" s="51"/>
      <c r="H30" s="47">
        <f t="shared" si="0"/>
        <v>0</v>
      </c>
      <c r="I30" s="48">
        <f t="shared" si="1"/>
        <v>0</v>
      </c>
      <c r="J30" s="48">
        <f t="shared" si="2"/>
        <v>0</v>
      </c>
      <c r="K30" s="49">
        <f t="shared" si="3"/>
        <v>0</v>
      </c>
      <c r="L30" s="73">
        <f t="shared" si="9"/>
        <v>0</v>
      </c>
      <c r="M30" s="74">
        <f t="shared" si="4"/>
        <v>0</v>
      </c>
      <c r="N30" s="74">
        <f t="shared" si="5"/>
        <v>0</v>
      </c>
      <c r="O30" s="40">
        <f t="shared" si="6"/>
        <v>0</v>
      </c>
      <c r="P30" s="75">
        <f t="shared" si="10"/>
        <v>0</v>
      </c>
      <c r="Q30" s="41"/>
      <c r="R30" s="42"/>
      <c r="S30" s="260"/>
      <c r="T30" s="75">
        <f t="shared" si="7"/>
        <v>0</v>
      </c>
      <c r="U30" s="42"/>
      <c r="V30" s="42"/>
      <c r="W30" s="42"/>
      <c r="X30" s="43"/>
      <c r="Y30" s="163"/>
      <c r="Z30" s="154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</row>
    <row r="31" spans="1:61" s="29" customFormat="1" ht="15.75" x14ac:dyDescent="0.25">
      <c r="A31" s="33" t="str">
        <f t="shared" si="8"/>
        <v>Domingo</v>
      </c>
      <c r="B31" s="34" t="s">
        <v>99</v>
      </c>
      <c r="C31" s="35">
        <f t="shared" si="11"/>
        <v>44207</v>
      </c>
      <c r="D31" s="50"/>
      <c r="E31" s="52"/>
      <c r="F31" s="52"/>
      <c r="G31" s="51"/>
      <c r="H31" s="47">
        <f t="shared" si="0"/>
        <v>0</v>
      </c>
      <c r="I31" s="48">
        <f t="shared" si="1"/>
        <v>0</v>
      </c>
      <c r="J31" s="48">
        <f t="shared" si="2"/>
        <v>0</v>
      </c>
      <c r="K31" s="49">
        <f t="shared" si="3"/>
        <v>0</v>
      </c>
      <c r="L31" s="73">
        <f t="shared" si="9"/>
        <v>0</v>
      </c>
      <c r="M31" s="74">
        <f t="shared" si="4"/>
        <v>0</v>
      </c>
      <c r="N31" s="74">
        <f t="shared" si="5"/>
        <v>0</v>
      </c>
      <c r="O31" s="40">
        <f t="shared" si="6"/>
        <v>0</v>
      </c>
      <c r="P31" s="75">
        <f t="shared" si="10"/>
        <v>0</v>
      </c>
      <c r="Q31" s="41"/>
      <c r="R31" s="42"/>
      <c r="S31" s="260"/>
      <c r="T31" s="75">
        <f t="shared" si="7"/>
        <v>0</v>
      </c>
      <c r="U31" s="42"/>
      <c r="V31" s="42"/>
      <c r="W31" s="42"/>
      <c r="X31" s="43"/>
      <c r="Y31" s="163"/>
      <c r="Z31" s="154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</row>
    <row r="32" spans="1:61" s="29" customFormat="1" ht="15.75" x14ac:dyDescent="0.25">
      <c r="A32" s="33" t="str">
        <f t="shared" si="8"/>
        <v>Segunda</v>
      </c>
      <c r="B32" s="34" t="s">
        <v>98</v>
      </c>
      <c r="C32" s="35">
        <f t="shared" si="11"/>
        <v>44208</v>
      </c>
      <c r="D32" s="50">
        <v>0.3125</v>
      </c>
      <c r="E32" s="52">
        <v>0.4861111111111111</v>
      </c>
      <c r="F32" s="52">
        <v>0.52777777777777779</v>
      </c>
      <c r="G32" s="51">
        <v>0.70833333333333337</v>
      </c>
      <c r="H32" s="47">
        <f t="shared" si="0"/>
        <v>0.3125</v>
      </c>
      <c r="I32" s="48">
        <f t="shared" si="1"/>
        <v>0.4861111111111111</v>
      </c>
      <c r="J32" s="48">
        <f t="shared" si="2"/>
        <v>0.54166666666666663</v>
      </c>
      <c r="K32" s="49">
        <f t="shared" si="3"/>
        <v>0.70833333333333337</v>
      </c>
      <c r="L32" s="73">
        <f t="shared" si="9"/>
        <v>0.34027777777777785</v>
      </c>
      <c r="M32" s="74">
        <f t="shared" si="4"/>
        <v>0</v>
      </c>
      <c r="N32" s="74">
        <f t="shared" si="5"/>
        <v>0</v>
      </c>
      <c r="O32" s="40">
        <f t="shared" si="6"/>
        <v>6.9444444444444753E-3</v>
      </c>
      <c r="P32" s="75">
        <f t="shared" si="10"/>
        <v>0</v>
      </c>
      <c r="Q32" s="41"/>
      <c r="R32" s="42"/>
      <c r="S32" s="260"/>
      <c r="T32" s="75">
        <f t="shared" si="7"/>
        <v>6.9439999999999997E-3</v>
      </c>
      <c r="U32" s="42"/>
      <c r="V32" s="42"/>
      <c r="W32" s="42"/>
      <c r="X32" s="43"/>
      <c r="Y32" s="163"/>
      <c r="Z32" s="154" t="s">
        <v>155</v>
      </c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</row>
    <row r="33" spans="1:61" s="29" customFormat="1" ht="15.75" x14ac:dyDescent="0.25">
      <c r="A33" s="33" t="str">
        <f t="shared" si="8"/>
        <v>Terça</v>
      </c>
      <c r="B33" s="34" t="s">
        <v>98</v>
      </c>
      <c r="C33" s="35">
        <f t="shared" si="11"/>
        <v>44209</v>
      </c>
      <c r="D33" s="50">
        <v>0.28472222222222221</v>
      </c>
      <c r="E33" s="52">
        <v>0.5</v>
      </c>
      <c r="F33" s="52">
        <v>0.55208333333333337</v>
      </c>
      <c r="G33" s="51">
        <v>0.69791666666666663</v>
      </c>
      <c r="H33" s="47">
        <f t="shared" si="0"/>
        <v>0.28472222222222221</v>
      </c>
      <c r="I33" s="48">
        <f t="shared" si="1"/>
        <v>0.5</v>
      </c>
      <c r="J33" s="48">
        <f t="shared" si="2"/>
        <v>0.55208333333333337</v>
      </c>
      <c r="K33" s="49">
        <f t="shared" si="3"/>
        <v>0.69791666666666663</v>
      </c>
      <c r="L33" s="73">
        <f t="shared" si="9"/>
        <v>0.36111111111111105</v>
      </c>
      <c r="M33" s="74">
        <f t="shared" si="4"/>
        <v>2.777777777777779E-2</v>
      </c>
      <c r="N33" s="74">
        <f t="shared" si="5"/>
        <v>-1.0416E-2</v>
      </c>
      <c r="O33" s="40">
        <f t="shared" si="6"/>
        <v>1.041666666666663E-2</v>
      </c>
      <c r="P33" s="75">
        <f t="shared" si="10"/>
        <v>1.0416E-2</v>
      </c>
      <c r="Q33" s="41"/>
      <c r="R33" s="42"/>
      <c r="S33" s="260"/>
      <c r="T33" s="75">
        <f t="shared" si="7"/>
        <v>3.8193999999999999E-2</v>
      </c>
      <c r="U33" s="42"/>
      <c r="V33" s="42"/>
      <c r="W33" s="44"/>
      <c r="X33" s="171"/>
      <c r="Y33" s="163"/>
      <c r="Z33" s="154" t="s">
        <v>111</v>
      </c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</row>
    <row r="34" spans="1:61" s="29" customFormat="1" ht="15.75" x14ac:dyDescent="0.25">
      <c r="A34" s="33" t="str">
        <f t="shared" si="8"/>
        <v>Quarta</v>
      </c>
      <c r="B34" s="34" t="s">
        <v>98</v>
      </c>
      <c r="C34" s="35">
        <f t="shared" si="11"/>
        <v>44210</v>
      </c>
      <c r="D34" s="50">
        <v>0.28472222222222221</v>
      </c>
      <c r="E34" s="52">
        <v>0.5</v>
      </c>
      <c r="F34" s="52">
        <v>0.55208333333333337</v>
      </c>
      <c r="G34" s="51">
        <v>0.69791666666666663</v>
      </c>
      <c r="H34" s="47">
        <f t="shared" si="0"/>
        <v>0.28472222222222221</v>
      </c>
      <c r="I34" s="48">
        <f t="shared" si="1"/>
        <v>0.5</v>
      </c>
      <c r="J34" s="48">
        <f t="shared" si="2"/>
        <v>0.55208333333333337</v>
      </c>
      <c r="K34" s="49">
        <f t="shared" si="3"/>
        <v>0.69791666666666663</v>
      </c>
      <c r="L34" s="73">
        <f t="shared" si="9"/>
        <v>0.36111111111111105</v>
      </c>
      <c r="M34" s="74">
        <f t="shared" si="4"/>
        <v>2.777777777777779E-2</v>
      </c>
      <c r="N34" s="74">
        <f t="shared" si="5"/>
        <v>-1.0416E-2</v>
      </c>
      <c r="O34" s="40">
        <f t="shared" si="6"/>
        <v>1.041666666666663E-2</v>
      </c>
      <c r="P34" s="75">
        <f t="shared" si="10"/>
        <v>0</v>
      </c>
      <c r="Q34" s="41">
        <v>1.0416666666666666E-2</v>
      </c>
      <c r="R34" s="42"/>
      <c r="S34" s="260"/>
      <c r="T34" s="75">
        <f t="shared" si="7"/>
        <v>0</v>
      </c>
      <c r="U34" s="42">
        <v>2.0833333333333332E-2</v>
      </c>
      <c r="V34" s="42">
        <v>6.9444444444444441E-3</v>
      </c>
      <c r="W34" s="44">
        <v>1.0416666666666666E-2</v>
      </c>
      <c r="X34" s="171"/>
      <c r="Y34" s="163"/>
      <c r="Z34" s="154" t="s">
        <v>112</v>
      </c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</row>
    <row r="35" spans="1:61" s="29" customFormat="1" ht="15.75" x14ac:dyDescent="0.25">
      <c r="A35" s="33" t="str">
        <f t="shared" si="8"/>
        <v>Quinta</v>
      </c>
      <c r="B35" s="34" t="s">
        <v>98</v>
      </c>
      <c r="C35" s="35">
        <f t="shared" si="11"/>
        <v>44211</v>
      </c>
      <c r="D35" s="50">
        <v>0.30208333333333331</v>
      </c>
      <c r="E35" s="52">
        <v>0.5</v>
      </c>
      <c r="F35" s="52">
        <v>0.5625</v>
      </c>
      <c r="G35" s="51">
        <v>0.70486111111111116</v>
      </c>
      <c r="H35" s="47">
        <f t="shared" si="0"/>
        <v>0.3125</v>
      </c>
      <c r="I35" s="48">
        <f t="shared" si="1"/>
        <v>0.5</v>
      </c>
      <c r="J35" s="48">
        <f t="shared" si="2"/>
        <v>0.5625</v>
      </c>
      <c r="K35" s="49">
        <f t="shared" si="3"/>
        <v>0.70833333333333337</v>
      </c>
      <c r="L35" s="73">
        <f t="shared" si="9"/>
        <v>0.33333333333333337</v>
      </c>
      <c r="M35" s="74">
        <f t="shared" si="4"/>
        <v>0</v>
      </c>
      <c r="N35" s="74">
        <f t="shared" si="5"/>
        <v>0</v>
      </c>
      <c r="O35" s="40">
        <f t="shared" si="6"/>
        <v>0</v>
      </c>
      <c r="P35" s="75">
        <f t="shared" si="10"/>
        <v>0</v>
      </c>
      <c r="Q35" s="41"/>
      <c r="R35" s="42"/>
      <c r="S35" s="260"/>
      <c r="T35" s="75">
        <f t="shared" si="7"/>
        <v>0</v>
      </c>
      <c r="U35" s="42"/>
      <c r="V35" s="42"/>
      <c r="W35" s="42"/>
      <c r="X35" s="43"/>
      <c r="Y35" s="163"/>
      <c r="Z35" s="154" t="s">
        <v>115</v>
      </c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</row>
    <row r="36" spans="1:61" s="29" customFormat="1" ht="15.75" x14ac:dyDescent="0.25">
      <c r="A36" s="33" t="str">
        <f t="shared" si="8"/>
        <v>Sexta</v>
      </c>
      <c r="B36" s="34" t="s">
        <v>98</v>
      </c>
      <c r="C36" s="35">
        <f t="shared" si="11"/>
        <v>44212</v>
      </c>
      <c r="D36" s="50">
        <v>0.29236111111111113</v>
      </c>
      <c r="E36" s="52">
        <v>0.5</v>
      </c>
      <c r="F36" s="52">
        <v>0.5625</v>
      </c>
      <c r="G36" s="51">
        <v>0.70833333333333337</v>
      </c>
      <c r="H36" s="47">
        <v>0.29236111111111113</v>
      </c>
      <c r="I36" s="48">
        <f t="shared" si="1"/>
        <v>0.5</v>
      </c>
      <c r="J36" s="48">
        <f t="shared" si="2"/>
        <v>0.5625</v>
      </c>
      <c r="K36" s="49">
        <f t="shared" si="3"/>
        <v>0.70833333333333337</v>
      </c>
      <c r="L36" s="73">
        <f t="shared" si="9"/>
        <v>0.35347222222222224</v>
      </c>
      <c r="M36" s="74">
        <f t="shared" si="4"/>
        <v>2.0138888888888873E-2</v>
      </c>
      <c r="N36" s="74">
        <f t="shared" si="5"/>
        <v>0</v>
      </c>
      <c r="O36" s="40">
        <f t="shared" si="6"/>
        <v>0</v>
      </c>
      <c r="P36" s="75">
        <f t="shared" si="10"/>
        <v>0</v>
      </c>
      <c r="Q36" s="41"/>
      <c r="R36" s="42"/>
      <c r="S36" s="260"/>
      <c r="T36" s="75">
        <f t="shared" si="7"/>
        <v>2.0138E-2</v>
      </c>
      <c r="U36" s="42"/>
      <c r="V36" s="42"/>
      <c r="W36" s="42"/>
      <c r="X36" s="43"/>
      <c r="Y36" s="163"/>
      <c r="Z36" s="154" t="s">
        <v>149</v>
      </c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</row>
    <row r="37" spans="1:61" s="29" customFormat="1" ht="15.75" x14ac:dyDescent="0.25">
      <c r="A37" s="33" t="str">
        <f t="shared" si="8"/>
        <v>Sábado</v>
      </c>
      <c r="B37" s="34" t="s">
        <v>99</v>
      </c>
      <c r="C37" s="35">
        <f t="shared" si="11"/>
        <v>44213</v>
      </c>
      <c r="D37" s="50"/>
      <c r="E37" s="52"/>
      <c r="F37" s="52"/>
      <c r="G37" s="51"/>
      <c r="H37" s="47">
        <f t="shared" ref="H37:H50" si="12">IF($B37=FERIAS,
    0,
    IF(OR($B37=FIM_DE_SEMANA,$B37=FERIADO,$B37=DISPENSADO,$B37=MEIO_COMPENSADO),
        D37,
        IF(TIPO_DE_PONTO="Comercial",
            IF(D37&gt;"12:00"+0,
                I37,
                IF(AND(D37&gt;="7:00"+0,D37&lt;="7:35"+0),TIMEVALUE("7:30"),D37)),
            IF(AND(TIPO_DE_PONTO="Construção",$A37&lt;&gt;"Sexta"),
                IF(D37&gt;"11:45"+0,
                    I37,
                    IF(AND(D37&gt;="7:00"+0,D37&lt;="7:35"+0),TIMEVALUE("7:30"),D37)),
                IF(D37&gt;"11:45"+0,
                    I37,
                    IF(AND(D37&gt;="6:30"+0,D37&lt;="7:05"+0),TIMEVALUE("7:00"),D37))))))</f>
        <v>0</v>
      </c>
      <c r="I37" s="48">
        <f t="shared" si="1"/>
        <v>0</v>
      </c>
      <c r="J37" s="48">
        <f t="shared" si="2"/>
        <v>0</v>
      </c>
      <c r="K37" s="49">
        <f t="shared" si="3"/>
        <v>0</v>
      </c>
      <c r="L37" s="73">
        <f t="shared" si="9"/>
        <v>0</v>
      </c>
      <c r="M37" s="74">
        <f t="shared" si="4"/>
        <v>0</v>
      </c>
      <c r="N37" s="74">
        <f t="shared" si="5"/>
        <v>0</v>
      </c>
      <c r="O37" s="40">
        <f t="shared" si="6"/>
        <v>0</v>
      </c>
      <c r="P37" s="75">
        <f t="shared" si="10"/>
        <v>0</v>
      </c>
      <c r="Q37" s="41"/>
      <c r="R37" s="42"/>
      <c r="S37" s="260"/>
      <c r="T37" s="75">
        <f t="shared" si="7"/>
        <v>0</v>
      </c>
      <c r="U37" s="42"/>
      <c r="V37" s="42"/>
      <c r="W37" s="42"/>
      <c r="X37" s="43"/>
      <c r="Y37" s="163"/>
      <c r="Z37" s="154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</row>
    <row r="38" spans="1:61" s="29" customFormat="1" ht="15.75" x14ac:dyDescent="0.25">
      <c r="A38" s="33" t="str">
        <f t="shared" si="8"/>
        <v>Domingo</v>
      </c>
      <c r="B38" s="34" t="s">
        <v>99</v>
      </c>
      <c r="C38" s="35">
        <f t="shared" si="11"/>
        <v>44214</v>
      </c>
      <c r="D38" s="50"/>
      <c r="E38" s="52"/>
      <c r="F38" s="52"/>
      <c r="G38" s="51"/>
      <c r="H38" s="47">
        <f t="shared" si="12"/>
        <v>0</v>
      </c>
      <c r="I38" s="48">
        <f t="shared" si="1"/>
        <v>0</v>
      </c>
      <c r="J38" s="48">
        <f t="shared" si="2"/>
        <v>0</v>
      </c>
      <c r="K38" s="49">
        <f t="shared" si="3"/>
        <v>0</v>
      </c>
      <c r="L38" s="73">
        <f t="shared" si="9"/>
        <v>0</v>
      </c>
      <c r="M38" s="74">
        <f t="shared" si="4"/>
        <v>0</v>
      </c>
      <c r="N38" s="74">
        <f t="shared" si="5"/>
        <v>0</v>
      </c>
      <c r="O38" s="40">
        <f t="shared" si="6"/>
        <v>0</v>
      </c>
      <c r="P38" s="75">
        <f t="shared" si="10"/>
        <v>0</v>
      </c>
      <c r="Q38" s="41"/>
      <c r="R38" s="42"/>
      <c r="S38" s="260"/>
      <c r="T38" s="75">
        <f t="shared" si="7"/>
        <v>0</v>
      </c>
      <c r="U38" s="42"/>
      <c r="V38" s="42"/>
      <c r="W38" s="42"/>
      <c r="X38" s="43"/>
      <c r="Y38" s="163"/>
      <c r="Z38" s="154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</row>
    <row r="39" spans="1:61" s="29" customFormat="1" ht="15.75" x14ac:dyDescent="0.25">
      <c r="A39" s="33" t="str">
        <f t="shared" si="8"/>
        <v>Segunda</v>
      </c>
      <c r="B39" s="34" t="s">
        <v>98</v>
      </c>
      <c r="C39" s="35">
        <f t="shared" si="11"/>
        <v>44215</v>
      </c>
      <c r="D39" s="50"/>
      <c r="E39" s="52"/>
      <c r="F39" s="52"/>
      <c r="G39" s="51"/>
      <c r="H39" s="47">
        <f t="shared" si="12"/>
        <v>0</v>
      </c>
      <c r="I39" s="48">
        <f t="shared" si="1"/>
        <v>0</v>
      </c>
      <c r="J39" s="48">
        <f t="shared" si="2"/>
        <v>0</v>
      </c>
      <c r="K39" s="49">
        <f t="shared" si="3"/>
        <v>0</v>
      </c>
      <c r="L39" s="73">
        <f t="shared" si="9"/>
        <v>0</v>
      </c>
      <c r="M39" s="74">
        <f t="shared" si="4"/>
        <v>0</v>
      </c>
      <c r="N39" s="74">
        <f t="shared" si="5"/>
        <v>0</v>
      </c>
      <c r="O39" s="40">
        <f t="shared" si="6"/>
        <v>0</v>
      </c>
      <c r="P39" s="75">
        <f t="shared" si="10"/>
        <v>0</v>
      </c>
      <c r="Q39" s="41"/>
      <c r="R39" s="42"/>
      <c r="S39" s="260"/>
      <c r="T39" s="75">
        <f t="shared" si="7"/>
        <v>0</v>
      </c>
      <c r="U39" s="42"/>
      <c r="V39" s="42"/>
      <c r="W39" s="42"/>
      <c r="X39" s="43"/>
      <c r="Y39" s="163"/>
      <c r="Z39" s="154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</row>
    <row r="40" spans="1:61" s="29" customFormat="1" ht="15.75" x14ac:dyDescent="0.25">
      <c r="A40" s="33" t="str">
        <f t="shared" si="8"/>
        <v>Terça</v>
      </c>
      <c r="B40" s="34" t="s">
        <v>98</v>
      </c>
      <c r="C40" s="35">
        <f t="shared" si="11"/>
        <v>44216</v>
      </c>
      <c r="D40" s="50"/>
      <c r="E40" s="52"/>
      <c r="F40" s="52"/>
      <c r="G40" s="51"/>
      <c r="H40" s="47">
        <f t="shared" si="12"/>
        <v>0</v>
      </c>
      <c r="I40" s="48">
        <f t="shared" si="1"/>
        <v>0</v>
      </c>
      <c r="J40" s="48">
        <f t="shared" si="2"/>
        <v>0</v>
      </c>
      <c r="K40" s="49">
        <f t="shared" si="3"/>
        <v>0</v>
      </c>
      <c r="L40" s="73">
        <f t="shared" si="9"/>
        <v>0</v>
      </c>
      <c r="M40" s="74">
        <f t="shared" si="4"/>
        <v>0</v>
      </c>
      <c r="N40" s="74">
        <f t="shared" si="5"/>
        <v>0</v>
      </c>
      <c r="O40" s="40">
        <f t="shared" si="6"/>
        <v>0</v>
      </c>
      <c r="P40" s="75">
        <f t="shared" si="10"/>
        <v>0</v>
      </c>
      <c r="Q40" s="41"/>
      <c r="R40" s="42"/>
      <c r="S40" s="260"/>
      <c r="T40" s="75">
        <f t="shared" si="7"/>
        <v>0</v>
      </c>
      <c r="U40" s="42"/>
      <c r="V40" s="42"/>
      <c r="W40" s="44"/>
      <c r="X40" s="171"/>
      <c r="Y40" s="163"/>
      <c r="Z40" s="154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</row>
    <row r="41" spans="1:61" s="29" customFormat="1" ht="15.75" x14ac:dyDescent="0.25">
      <c r="A41" s="33" t="str">
        <f t="shared" si="8"/>
        <v>Quarta</v>
      </c>
      <c r="B41" s="34" t="s">
        <v>126</v>
      </c>
      <c r="C41" s="35">
        <f t="shared" si="11"/>
        <v>44217</v>
      </c>
      <c r="D41" s="50">
        <v>0.3125</v>
      </c>
      <c r="E41" s="52">
        <v>0.5</v>
      </c>
      <c r="F41" s="52">
        <v>0.5625</v>
      </c>
      <c r="G41" s="51">
        <v>0.70833333333333337</v>
      </c>
      <c r="H41" s="47">
        <f t="shared" si="12"/>
        <v>0</v>
      </c>
      <c r="I41" s="48">
        <f t="shared" si="1"/>
        <v>0</v>
      </c>
      <c r="J41" s="48">
        <f t="shared" si="2"/>
        <v>0</v>
      </c>
      <c r="K41" s="49">
        <f t="shared" si="3"/>
        <v>0</v>
      </c>
      <c r="L41" s="73">
        <f t="shared" si="9"/>
        <v>0</v>
      </c>
      <c r="M41" s="74">
        <f t="shared" si="4"/>
        <v>0</v>
      </c>
      <c r="N41" s="74">
        <f t="shared" si="5"/>
        <v>0</v>
      </c>
      <c r="O41" s="40">
        <f t="shared" si="6"/>
        <v>0</v>
      </c>
      <c r="P41" s="75">
        <f t="shared" si="10"/>
        <v>0</v>
      </c>
      <c r="Q41" s="41"/>
      <c r="R41" s="42"/>
      <c r="S41" s="260"/>
      <c r="T41" s="75">
        <f t="shared" si="7"/>
        <v>0</v>
      </c>
      <c r="U41" s="42"/>
      <c r="V41" s="42"/>
      <c r="W41" s="44"/>
      <c r="X41" s="171"/>
      <c r="Y41" s="163"/>
      <c r="Z41" s="154" t="s">
        <v>128</v>
      </c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</row>
    <row r="42" spans="1:61" s="29" customFormat="1" ht="15.75" x14ac:dyDescent="0.25">
      <c r="A42" s="33" t="str">
        <f t="shared" si="8"/>
        <v>Quinta</v>
      </c>
      <c r="B42" s="34" t="s">
        <v>98</v>
      </c>
      <c r="C42" s="35">
        <f t="shared" si="11"/>
        <v>44218</v>
      </c>
      <c r="D42" s="50">
        <v>0.3125</v>
      </c>
      <c r="E42" s="146">
        <v>0.5</v>
      </c>
      <c r="F42" s="52"/>
      <c r="G42" s="51"/>
      <c r="H42" s="47">
        <f t="shared" si="12"/>
        <v>0.3125</v>
      </c>
      <c r="I42" s="48">
        <f t="shared" si="1"/>
        <v>0.5</v>
      </c>
      <c r="J42" s="48">
        <f t="shared" si="2"/>
        <v>0.54166666666666663</v>
      </c>
      <c r="K42" s="49">
        <f t="shared" si="3"/>
        <v>0.54166666666666663</v>
      </c>
      <c r="L42" s="73">
        <f t="shared" si="9"/>
        <v>0.1875</v>
      </c>
      <c r="M42" s="74">
        <f t="shared" si="4"/>
        <v>0</v>
      </c>
      <c r="N42" s="74">
        <f t="shared" si="5"/>
        <v>-0.16666600000000001</v>
      </c>
      <c r="O42" s="40">
        <f t="shared" si="6"/>
        <v>2.083333333333337E-2</v>
      </c>
      <c r="P42" s="75">
        <f t="shared" si="10"/>
        <v>0.16666600000000001</v>
      </c>
      <c r="Q42" s="41"/>
      <c r="R42" s="42"/>
      <c r="S42" s="260"/>
      <c r="T42" s="75">
        <f t="shared" si="7"/>
        <v>2.0833000000000001E-2</v>
      </c>
      <c r="U42" s="42"/>
      <c r="V42" s="42"/>
      <c r="W42" s="42"/>
      <c r="X42" s="43"/>
      <c r="Y42" s="163"/>
      <c r="Z42" s="154" t="s">
        <v>137</v>
      </c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</row>
    <row r="43" spans="1:61" s="29" customFormat="1" ht="15.75" x14ac:dyDescent="0.25">
      <c r="A43" s="33" t="str">
        <f t="shared" si="8"/>
        <v>Sexta</v>
      </c>
      <c r="B43" s="34" t="s">
        <v>98</v>
      </c>
      <c r="C43" s="35">
        <f t="shared" si="11"/>
        <v>44219</v>
      </c>
      <c r="D43" s="50">
        <v>0.28472222222222221</v>
      </c>
      <c r="E43" s="146">
        <v>0.5</v>
      </c>
      <c r="F43" s="52">
        <v>0.55208333333333337</v>
      </c>
      <c r="G43" s="51">
        <v>0.69791666666666663</v>
      </c>
      <c r="H43" s="47">
        <f t="shared" si="12"/>
        <v>0.28472222222222221</v>
      </c>
      <c r="I43" s="48">
        <f t="shared" si="1"/>
        <v>0.5</v>
      </c>
      <c r="J43" s="48">
        <f t="shared" si="2"/>
        <v>0.55208333333333337</v>
      </c>
      <c r="K43" s="49">
        <f t="shared" si="3"/>
        <v>0.69791666666666663</v>
      </c>
      <c r="L43" s="73">
        <f t="shared" si="9"/>
        <v>0.36111111111111105</v>
      </c>
      <c r="M43" s="74">
        <f t="shared" si="4"/>
        <v>2.777777777777779E-2</v>
      </c>
      <c r="N43" s="74">
        <f t="shared" si="5"/>
        <v>-1.0416E-2</v>
      </c>
      <c r="O43" s="40">
        <f t="shared" si="6"/>
        <v>1.041666666666663E-2</v>
      </c>
      <c r="P43" s="75">
        <f t="shared" si="10"/>
        <v>-6.9449999999999998E-3</v>
      </c>
      <c r="Q43" s="41">
        <v>1.7361111111111112E-2</v>
      </c>
      <c r="R43" s="42"/>
      <c r="S43" s="260"/>
      <c r="T43" s="75">
        <f t="shared" si="7"/>
        <v>-3.4719999999999998E-3</v>
      </c>
      <c r="U43" s="42">
        <v>2.4305555555555556E-2</v>
      </c>
      <c r="V43" s="42">
        <v>6.9444444444444441E-3</v>
      </c>
      <c r="W43" s="42">
        <v>1.0416666666666666E-2</v>
      </c>
      <c r="X43" s="43"/>
      <c r="Y43" s="163"/>
      <c r="Z43" s="154" t="s">
        <v>114</v>
      </c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</row>
    <row r="44" spans="1:61" s="29" customFormat="1" ht="15.75" x14ac:dyDescent="0.25">
      <c r="A44" s="33" t="str">
        <f t="shared" si="8"/>
        <v>Sábado</v>
      </c>
      <c r="B44" s="34" t="s">
        <v>99</v>
      </c>
      <c r="C44" s="35">
        <f t="shared" si="11"/>
        <v>44220</v>
      </c>
      <c r="D44" s="50">
        <v>0.3125</v>
      </c>
      <c r="E44" s="52">
        <v>0.50069444444444444</v>
      </c>
      <c r="F44" s="52">
        <v>0.54166666666666663</v>
      </c>
      <c r="G44" s="51">
        <v>0.70833333333333337</v>
      </c>
      <c r="H44" s="47">
        <f t="shared" si="12"/>
        <v>0.3125</v>
      </c>
      <c r="I44" s="48">
        <f t="shared" si="1"/>
        <v>0.50069444444444444</v>
      </c>
      <c r="J44" s="48">
        <f t="shared" si="2"/>
        <v>0.54166666666666663</v>
      </c>
      <c r="K44" s="49">
        <f t="shared" si="3"/>
        <v>0.70833333333333337</v>
      </c>
      <c r="L44" s="73">
        <f t="shared" si="9"/>
        <v>0.35486111111111118</v>
      </c>
      <c r="M44" s="74">
        <f t="shared" si="4"/>
        <v>0</v>
      </c>
      <c r="N44" s="74">
        <f t="shared" si="5"/>
        <v>0</v>
      </c>
      <c r="O44" s="40">
        <f t="shared" si="6"/>
        <v>0</v>
      </c>
      <c r="P44" s="75">
        <f t="shared" si="10"/>
        <v>0</v>
      </c>
      <c r="Q44" s="41"/>
      <c r="R44" s="42"/>
      <c r="S44" s="260"/>
      <c r="T44" s="75">
        <f t="shared" si="7"/>
        <v>0.35486099999999998</v>
      </c>
      <c r="U44" s="42"/>
      <c r="V44" s="42"/>
      <c r="W44" s="42"/>
      <c r="X44" s="43"/>
      <c r="Y44" s="163"/>
      <c r="Z44" s="154" t="s">
        <v>113</v>
      </c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</row>
    <row r="45" spans="1:61" s="29" customFormat="1" ht="15.75" x14ac:dyDescent="0.25">
      <c r="A45" s="33" t="str">
        <f t="shared" si="8"/>
        <v>Domingo</v>
      </c>
      <c r="B45" s="34" t="s">
        <v>99</v>
      </c>
      <c r="C45" s="35">
        <f t="shared" si="11"/>
        <v>44221</v>
      </c>
      <c r="D45" s="50"/>
      <c r="E45" s="52"/>
      <c r="F45" s="52"/>
      <c r="G45" s="51"/>
      <c r="H45" s="47">
        <f t="shared" si="12"/>
        <v>0</v>
      </c>
      <c r="I45" s="48">
        <f t="shared" si="1"/>
        <v>0</v>
      </c>
      <c r="J45" s="48">
        <f t="shared" si="2"/>
        <v>0</v>
      </c>
      <c r="K45" s="49">
        <f t="shared" si="3"/>
        <v>0</v>
      </c>
      <c r="L45" s="73">
        <f t="shared" si="9"/>
        <v>0</v>
      </c>
      <c r="M45" s="74">
        <f t="shared" si="4"/>
        <v>0</v>
      </c>
      <c r="N45" s="74">
        <f t="shared" si="5"/>
        <v>0</v>
      </c>
      <c r="O45" s="40">
        <f t="shared" si="6"/>
        <v>0</v>
      </c>
      <c r="P45" s="75">
        <f t="shared" si="10"/>
        <v>0</v>
      </c>
      <c r="Q45" s="41"/>
      <c r="R45" s="42"/>
      <c r="S45" s="260"/>
      <c r="T45" s="75">
        <f t="shared" si="7"/>
        <v>0</v>
      </c>
      <c r="U45" s="42"/>
      <c r="V45" s="42"/>
      <c r="W45" s="42"/>
      <c r="X45" s="43"/>
      <c r="Y45" s="163"/>
      <c r="Z45" s="154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</row>
    <row r="46" spans="1:61" s="29" customFormat="1" ht="15.75" x14ac:dyDescent="0.25">
      <c r="A46" s="33" t="str">
        <f t="shared" si="8"/>
        <v>Segunda</v>
      </c>
      <c r="B46" s="34" t="s">
        <v>98</v>
      </c>
      <c r="C46" s="35">
        <f t="shared" si="11"/>
        <v>44222</v>
      </c>
      <c r="D46" s="50"/>
      <c r="E46" s="52"/>
      <c r="F46" s="52"/>
      <c r="G46" s="51"/>
      <c r="H46" s="47">
        <f t="shared" si="12"/>
        <v>0</v>
      </c>
      <c r="I46" s="48">
        <f t="shared" si="1"/>
        <v>0</v>
      </c>
      <c r="J46" s="48">
        <f t="shared" si="2"/>
        <v>0</v>
      </c>
      <c r="K46" s="49">
        <f t="shared" si="3"/>
        <v>0</v>
      </c>
      <c r="L46" s="73">
        <f t="shared" si="9"/>
        <v>0</v>
      </c>
      <c r="M46" s="74">
        <f t="shared" si="4"/>
        <v>0</v>
      </c>
      <c r="N46" s="74">
        <f t="shared" si="5"/>
        <v>0</v>
      </c>
      <c r="O46" s="40">
        <f t="shared" si="6"/>
        <v>0</v>
      </c>
      <c r="P46" s="75">
        <f t="shared" si="10"/>
        <v>0</v>
      </c>
      <c r="Q46" s="41"/>
      <c r="R46" s="42"/>
      <c r="S46" s="260"/>
      <c r="T46" s="75">
        <f t="shared" si="7"/>
        <v>0</v>
      </c>
      <c r="U46" s="42"/>
      <c r="V46" s="42"/>
      <c r="W46" s="42"/>
      <c r="X46" s="43"/>
      <c r="Y46" s="163"/>
      <c r="Z46" s="154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</row>
    <row r="47" spans="1:61" s="28" customFormat="1" ht="15.75" x14ac:dyDescent="0.25">
      <c r="A47" s="33" t="str">
        <f t="shared" si="8"/>
        <v>Terça</v>
      </c>
      <c r="B47" s="34" t="s">
        <v>98</v>
      </c>
      <c r="C47" s="35">
        <f t="shared" si="11"/>
        <v>44223</v>
      </c>
      <c r="D47" s="50"/>
      <c r="E47" s="52"/>
      <c r="F47" s="52"/>
      <c r="G47" s="51"/>
      <c r="H47" s="47">
        <f t="shared" si="12"/>
        <v>0</v>
      </c>
      <c r="I47" s="48">
        <f t="shared" si="1"/>
        <v>0</v>
      </c>
      <c r="J47" s="48">
        <f t="shared" si="2"/>
        <v>0</v>
      </c>
      <c r="K47" s="49">
        <f t="shared" si="3"/>
        <v>0</v>
      </c>
      <c r="L47" s="73">
        <f t="shared" si="9"/>
        <v>0</v>
      </c>
      <c r="M47" s="74">
        <f t="shared" si="4"/>
        <v>0</v>
      </c>
      <c r="N47" s="74">
        <f t="shared" si="5"/>
        <v>0</v>
      </c>
      <c r="O47" s="40">
        <f t="shared" si="6"/>
        <v>0</v>
      </c>
      <c r="P47" s="75">
        <f t="shared" si="10"/>
        <v>0</v>
      </c>
      <c r="Q47" s="41"/>
      <c r="R47" s="42"/>
      <c r="S47" s="260"/>
      <c r="T47" s="75">
        <f t="shared" si="7"/>
        <v>0</v>
      </c>
      <c r="U47" s="42"/>
      <c r="V47" s="42"/>
      <c r="W47" s="42"/>
      <c r="X47" s="43"/>
      <c r="Y47" s="163"/>
      <c r="Z47" s="154"/>
    </row>
    <row r="48" spans="1:61" s="28" customFormat="1" ht="15.75" x14ac:dyDescent="0.25">
      <c r="A48" s="33" t="str">
        <f t="shared" si="8"/>
        <v>Quarta</v>
      </c>
      <c r="B48" s="34" t="s">
        <v>98</v>
      </c>
      <c r="C48" s="35">
        <f t="shared" si="11"/>
        <v>44224</v>
      </c>
      <c r="D48" s="50"/>
      <c r="E48" s="52"/>
      <c r="F48" s="52"/>
      <c r="G48" s="51"/>
      <c r="H48" s="47">
        <f t="shared" si="12"/>
        <v>0</v>
      </c>
      <c r="I48" s="48">
        <f t="shared" si="1"/>
        <v>0</v>
      </c>
      <c r="J48" s="48">
        <f t="shared" si="2"/>
        <v>0</v>
      </c>
      <c r="K48" s="49">
        <f t="shared" si="3"/>
        <v>0</v>
      </c>
      <c r="L48" s="73">
        <f t="shared" si="9"/>
        <v>0</v>
      </c>
      <c r="M48" s="74">
        <f t="shared" si="4"/>
        <v>0</v>
      </c>
      <c r="N48" s="74">
        <f t="shared" si="5"/>
        <v>0</v>
      </c>
      <c r="O48" s="40">
        <f t="shared" si="6"/>
        <v>0</v>
      </c>
      <c r="P48" s="75">
        <f t="shared" si="10"/>
        <v>0</v>
      </c>
      <c r="Q48" s="41"/>
      <c r="R48" s="42"/>
      <c r="S48" s="260"/>
      <c r="T48" s="75">
        <f t="shared" si="7"/>
        <v>0</v>
      </c>
      <c r="U48" s="42"/>
      <c r="V48" s="42"/>
      <c r="W48" s="44"/>
      <c r="X48" s="171"/>
      <c r="Y48" s="163"/>
      <c r="Z48" s="154"/>
    </row>
    <row r="49" spans="1:27" s="28" customFormat="1" ht="15.75" x14ac:dyDescent="0.25">
      <c r="A49" s="33" t="str">
        <f t="shared" si="8"/>
        <v>Quinta</v>
      </c>
      <c r="B49" s="34" t="s">
        <v>98</v>
      </c>
      <c r="C49" s="35">
        <f t="shared" si="11"/>
        <v>44225</v>
      </c>
      <c r="D49" s="50"/>
      <c r="E49" s="52"/>
      <c r="F49" s="52"/>
      <c r="G49" s="51"/>
      <c r="H49" s="47">
        <f t="shared" si="12"/>
        <v>0</v>
      </c>
      <c r="I49" s="48">
        <f t="shared" si="1"/>
        <v>0</v>
      </c>
      <c r="J49" s="48">
        <f t="shared" si="2"/>
        <v>0</v>
      </c>
      <c r="K49" s="49">
        <f t="shared" si="3"/>
        <v>0</v>
      </c>
      <c r="L49" s="73">
        <f t="shared" si="9"/>
        <v>0</v>
      </c>
      <c r="M49" s="74">
        <f t="shared" si="4"/>
        <v>0</v>
      </c>
      <c r="N49" s="74">
        <f t="shared" si="5"/>
        <v>0</v>
      </c>
      <c r="O49" s="40">
        <f t="shared" si="6"/>
        <v>0</v>
      </c>
      <c r="P49" s="75">
        <f t="shared" si="10"/>
        <v>0</v>
      </c>
      <c r="Q49" s="41"/>
      <c r="R49" s="42"/>
      <c r="S49" s="260"/>
      <c r="T49" s="75">
        <f t="shared" si="7"/>
        <v>0</v>
      </c>
      <c r="U49" s="42"/>
      <c r="V49" s="42"/>
      <c r="W49" s="44"/>
      <c r="X49" s="171"/>
      <c r="Y49" s="163"/>
      <c r="Z49" s="154"/>
    </row>
    <row r="50" spans="1:27" s="28" customFormat="1" ht="16.5" thickBot="1" x14ac:dyDescent="0.3">
      <c r="A50" s="80" t="str">
        <f t="shared" si="8"/>
        <v>Sexta</v>
      </c>
      <c r="B50" s="145" t="s">
        <v>98</v>
      </c>
      <c r="C50" s="35">
        <f t="shared" si="11"/>
        <v>44226</v>
      </c>
      <c r="D50" s="156"/>
      <c r="E50" s="146"/>
      <c r="F50" s="146"/>
      <c r="G50" s="165"/>
      <c r="H50" s="47">
        <f t="shared" si="12"/>
        <v>0</v>
      </c>
      <c r="I50" s="48">
        <f t="shared" si="1"/>
        <v>0</v>
      </c>
      <c r="J50" s="48">
        <f t="shared" si="2"/>
        <v>0</v>
      </c>
      <c r="K50" s="49">
        <f t="shared" si="3"/>
        <v>0</v>
      </c>
      <c r="L50" s="73">
        <f t="shared" si="9"/>
        <v>0</v>
      </c>
      <c r="M50" s="74">
        <f t="shared" si="4"/>
        <v>0</v>
      </c>
      <c r="N50" s="74">
        <f t="shared" si="5"/>
        <v>0</v>
      </c>
      <c r="O50" s="40">
        <f t="shared" si="6"/>
        <v>0</v>
      </c>
      <c r="P50" s="75">
        <f t="shared" si="10"/>
        <v>0</v>
      </c>
      <c r="Q50" s="143"/>
      <c r="R50" s="262"/>
      <c r="S50" s="261"/>
      <c r="T50" s="75">
        <f t="shared" si="7"/>
        <v>0</v>
      </c>
      <c r="U50" s="144"/>
      <c r="V50" s="144"/>
      <c r="W50" s="144"/>
      <c r="X50" s="170"/>
      <c r="Y50" s="164"/>
      <c r="Z50" s="155"/>
    </row>
    <row r="51" spans="1:27" s="14" customFormat="1" ht="24.95" customHeight="1" thickBot="1" x14ac:dyDescent="0.3">
      <c r="A51" s="150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1"/>
      <c r="M51" s="151"/>
      <c r="N51" s="151"/>
      <c r="O51" s="151"/>
      <c r="P51" s="178">
        <f>SUMIF($P$20:$P$50,"&gt;0:00")</f>
        <v>0.17708200000000002</v>
      </c>
      <c r="Q51" s="128">
        <f>SUMIF($Q$20:$Q$50,"&gt;0:00")</f>
        <v>0.3611111111111111</v>
      </c>
      <c r="R51" s="124">
        <f>SUMIF($S$20:$S$50,"&gt;0:00")</f>
        <v>0</v>
      </c>
      <c r="S51" s="184">
        <f>SUMIF($R$20:$R$50,"&gt;0:00")</f>
        <v>0</v>
      </c>
      <c r="T51" s="178">
        <f>SUMIF($T$20:$T$50,"&gt;0:00")</f>
        <v>0.44096999999999997</v>
      </c>
      <c r="U51" s="128">
        <f>SUMIF($U$20:$U$50,"&gt;0:00")</f>
        <v>4.5138888888888888E-2</v>
      </c>
      <c r="V51" s="128">
        <f>SUMIF($V$20:$V$50,"&gt;0:00")</f>
        <v>1.3888888888888888E-2</v>
      </c>
      <c r="W51" s="125">
        <f>SUMIF($W$20:$W$50,"&gt;0:00")</f>
        <v>2.0833333333333332E-2</v>
      </c>
      <c r="X51" s="126">
        <f>SUMIF($X$20:$X$50,"&gt;0:00")</f>
        <v>0</v>
      </c>
      <c r="Y51" s="148"/>
      <c r="Z51" s="149"/>
      <c r="AA51" s="17"/>
    </row>
    <row r="52" spans="1:27" s="14" customFormat="1" ht="15.75" customHeight="1" x14ac:dyDescent="0.25">
      <c r="C52" s="32"/>
      <c r="D52" s="2"/>
      <c r="E52" s="2"/>
      <c r="F52" s="2"/>
      <c r="G52" s="2"/>
      <c r="H52" s="2"/>
      <c r="I52" s="2"/>
      <c r="J52" s="2"/>
      <c r="K52" s="2"/>
      <c r="P52" s="313" t="s">
        <v>105</v>
      </c>
      <c r="Q52" s="139"/>
      <c r="R52" s="139"/>
      <c r="S52" s="139"/>
      <c r="T52" s="139"/>
      <c r="U52" s="141"/>
      <c r="V52" s="179"/>
      <c r="W52" s="179"/>
      <c r="X52" s="127"/>
    </row>
    <row r="53" spans="1:27" s="14" customFormat="1" ht="15" customHeight="1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P53" s="313"/>
      <c r="Q53" s="139"/>
      <c r="R53" s="140" t="s">
        <v>108</v>
      </c>
      <c r="S53" s="179"/>
      <c r="T53" s="172"/>
      <c r="U53" s="179"/>
      <c r="V53" s="141"/>
      <c r="W53" s="141"/>
      <c r="X53" s="127"/>
    </row>
    <row r="54" spans="1:27" s="14" customFormat="1" ht="15" customHeight="1" x14ac:dyDescent="0.25">
      <c r="C54" s="7"/>
      <c r="D54" s="7"/>
      <c r="E54" s="7"/>
      <c r="F54" s="7"/>
      <c r="G54" s="7"/>
      <c r="H54" s="7"/>
      <c r="I54" s="7"/>
      <c r="J54" s="7"/>
      <c r="K54" s="7"/>
      <c r="L54" s="7"/>
      <c r="P54" s="313"/>
      <c r="Q54" s="306">
        <f>TRUNC($U$51-$Q$51,6)</f>
        <v>-0.31597199999999998</v>
      </c>
      <c r="R54" s="307"/>
      <c r="S54" s="308"/>
      <c r="T54" s="172"/>
      <c r="U54" s="140" t="s">
        <v>39</v>
      </c>
      <c r="V54" s="139"/>
      <c r="W54" s="140" t="s">
        <v>39</v>
      </c>
      <c r="X54" s="180"/>
    </row>
    <row r="55" spans="1:27" s="14" customFormat="1" ht="15" customHeight="1" x14ac:dyDescent="0.25">
      <c r="C55" s="7"/>
      <c r="D55" s="7"/>
      <c r="E55" s="7"/>
      <c r="F55" s="7"/>
      <c r="G55" s="7"/>
      <c r="H55" s="7"/>
      <c r="I55" s="7"/>
      <c r="J55" s="7"/>
      <c r="K55" s="7"/>
      <c r="L55" s="7"/>
      <c r="P55" s="313"/>
      <c r="Q55" s="309"/>
      <c r="R55" s="310"/>
      <c r="S55" s="311"/>
      <c r="T55" s="176"/>
      <c r="U55" s="182">
        <f>(-1)*CRE_2</f>
        <v>-2.1041666666666665</v>
      </c>
      <c r="V55" s="181"/>
      <c r="W55" s="183">
        <f>$U$55+$V$51</f>
        <v>-2.0902777777777777</v>
      </c>
      <c r="X55" s="180"/>
    </row>
    <row r="56" spans="1:27" s="14" customFormat="1" ht="15" customHeight="1" x14ac:dyDescent="0.25">
      <c r="C56" s="7"/>
      <c r="D56" s="7"/>
      <c r="E56" s="7"/>
      <c r="F56" s="7"/>
      <c r="G56" s="7"/>
      <c r="H56" s="7"/>
      <c r="I56" s="7"/>
      <c r="J56" s="7"/>
      <c r="K56" s="7"/>
      <c r="L56" s="7"/>
      <c r="P56" s="313"/>
      <c r="Q56" s="312" t="s">
        <v>120</v>
      </c>
      <c r="R56" s="312"/>
      <c r="S56" s="312"/>
      <c r="T56" s="141"/>
      <c r="U56" s="141" t="s">
        <v>121</v>
      </c>
      <c r="V56" s="181"/>
      <c r="W56" s="141" t="s">
        <v>123</v>
      </c>
      <c r="X56" s="173"/>
    </row>
    <row r="57" spans="1:27" s="14" customFormat="1" ht="15" customHeight="1" x14ac:dyDescent="0.25">
      <c r="C57" s="7"/>
      <c r="D57" s="7"/>
      <c r="E57" s="7"/>
      <c r="F57" s="7"/>
      <c r="G57" s="7"/>
      <c r="H57" s="7"/>
      <c r="I57" s="7"/>
      <c r="J57" s="7"/>
      <c r="K57" s="7"/>
      <c r="L57" s="7"/>
      <c r="P57" s="313"/>
      <c r="Q57" s="141"/>
      <c r="R57" s="141"/>
      <c r="S57" s="141"/>
      <c r="T57" s="141"/>
      <c r="U57" s="141"/>
      <c r="V57" s="181"/>
      <c r="W57" s="141" t="s">
        <v>122</v>
      </c>
      <c r="X57" s="173"/>
      <c r="AA57" s="17"/>
    </row>
    <row r="58" spans="1:27" s="14" customFormat="1" ht="15" customHeight="1" x14ac:dyDescent="0.25"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P58" s="313"/>
      <c r="Q58" s="141"/>
      <c r="R58" s="141"/>
      <c r="S58" s="306">
        <f>TRUNC(SUM($T$51:$W$51)-SUM($P$51:$R$51),6)</f>
        <v>-1.7361999999999999E-2</v>
      </c>
      <c r="T58" s="307"/>
      <c r="U58" s="308"/>
      <c r="V58" s="181"/>
      <c r="W58" s="141"/>
      <c r="X58" s="173"/>
      <c r="AA58" s="18"/>
    </row>
    <row r="59" spans="1:27" s="14" customFormat="1" ht="15" customHeight="1" x14ac:dyDescent="0.25"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"/>
      <c r="P59" s="313"/>
      <c r="Q59" s="141"/>
      <c r="R59" s="141"/>
      <c r="S59" s="309"/>
      <c r="T59" s="310"/>
      <c r="U59" s="311"/>
      <c r="V59" s="181"/>
      <c r="W59" s="141"/>
      <c r="X59" s="173"/>
      <c r="AA59" s="17"/>
    </row>
    <row r="60" spans="1:27" s="14" customFormat="1" ht="15" customHeight="1" x14ac:dyDescent="0.25"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18"/>
      <c r="P60" s="313"/>
      <c r="Q60" s="141"/>
      <c r="R60" s="141"/>
      <c r="S60" s="312" t="s">
        <v>139</v>
      </c>
      <c r="T60" s="312"/>
      <c r="U60" s="312"/>
      <c r="V60" s="181"/>
      <c r="W60" s="141"/>
      <c r="X60" s="173"/>
      <c r="AA60" s="17"/>
    </row>
    <row r="61" spans="1:27" s="14" customFormat="1" ht="15" customHeight="1" thickBot="1" x14ac:dyDescent="0.3"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P61" s="314"/>
      <c r="Q61" s="174"/>
      <c r="R61" s="174"/>
      <c r="S61" s="174"/>
      <c r="T61" s="174"/>
      <c r="U61" s="174"/>
      <c r="V61" s="174"/>
      <c r="W61" s="174"/>
      <c r="X61" s="175"/>
      <c r="AA61" s="21"/>
    </row>
    <row r="62" spans="1:27" s="14" customFormat="1" ht="14.25" customHeight="1" x14ac:dyDescent="0.25">
      <c r="A62" s="23"/>
      <c r="B62" s="23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T62" s="13"/>
      <c r="X62" s="1"/>
      <c r="Y62" s="36"/>
      <c r="Z62" s="1"/>
      <c r="AA62" s="22"/>
    </row>
    <row r="63" spans="1:27" s="3" customFormat="1" ht="15" x14ac:dyDescent="0.25"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V63" s="7"/>
      <c r="W63" s="13"/>
      <c r="X63" s="13"/>
      <c r="Y63" s="39"/>
      <c r="Z63" s="20"/>
      <c r="AA63" s="9"/>
    </row>
    <row r="64" spans="1:27" s="3" customFormat="1" ht="15.75" thickBot="1" x14ac:dyDescent="0.3">
      <c r="A64" s="6"/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14"/>
      <c r="P64" s="7"/>
      <c r="Q64" s="7"/>
      <c r="R64" s="7"/>
      <c r="S64" s="7"/>
      <c r="T64" s="7"/>
      <c r="U64" s="7"/>
      <c r="V64" s="7"/>
      <c r="W64" s="13"/>
      <c r="X64" s="15"/>
      <c r="Y64" s="21"/>
      <c r="Z64" s="19"/>
      <c r="AA64" s="9"/>
    </row>
    <row r="65" spans="1:27" s="3" customFormat="1" ht="15" x14ac:dyDescent="0.25">
      <c r="A65" s="6"/>
      <c r="B65" s="6"/>
      <c r="C65" s="129" t="s">
        <v>0</v>
      </c>
      <c r="D65" s="130" t="s">
        <v>9</v>
      </c>
      <c r="E65" s="302" t="s">
        <v>100</v>
      </c>
      <c r="F65" s="302"/>
      <c r="G65" s="302"/>
      <c r="H65" s="302"/>
      <c r="I65" s="302"/>
      <c r="J65" s="302"/>
      <c r="K65" s="302"/>
      <c r="L65" s="302"/>
      <c r="M65" s="302"/>
      <c r="N65" s="303"/>
      <c r="O65" s="14"/>
      <c r="P65" s="7"/>
      <c r="Q65" s="7"/>
      <c r="R65" s="7"/>
      <c r="S65" s="7"/>
      <c r="T65" s="7"/>
      <c r="U65" s="7"/>
      <c r="V65" s="7"/>
      <c r="W65" s="13"/>
      <c r="X65" s="16"/>
      <c r="Y65" s="22"/>
      <c r="Z65" s="13"/>
      <c r="AA65" s="9"/>
    </row>
    <row r="66" spans="1:27" s="3" customFormat="1" ht="15.75" x14ac:dyDescent="0.25">
      <c r="A66" s="6"/>
      <c r="B66" s="6"/>
      <c r="C66" s="131">
        <v>44201</v>
      </c>
      <c r="D66" s="132">
        <v>0.5</v>
      </c>
      <c r="E66" s="304" t="s">
        <v>116</v>
      </c>
      <c r="F66" s="304"/>
      <c r="G66" s="304"/>
      <c r="H66" s="304"/>
      <c r="I66" s="304"/>
      <c r="J66" s="304"/>
      <c r="K66" s="304"/>
      <c r="L66" s="304"/>
      <c r="M66" s="304"/>
      <c r="N66" s="305"/>
      <c r="O66" s="14"/>
      <c r="P66" s="7"/>
      <c r="Q66" s="7"/>
      <c r="R66" s="7"/>
      <c r="S66" s="7"/>
      <c r="T66" s="7"/>
      <c r="U66" s="7"/>
      <c r="V66" s="7"/>
      <c r="W66" s="7"/>
      <c r="X66" s="8"/>
      <c r="Y66" s="37"/>
      <c r="Z66" s="8"/>
      <c r="AA66" s="9"/>
    </row>
    <row r="67" spans="1:27" s="3" customFormat="1" ht="15.75" x14ac:dyDescent="0.25">
      <c r="A67" s="6"/>
      <c r="B67" s="6"/>
      <c r="C67" s="131"/>
      <c r="D67" s="132"/>
      <c r="E67" s="304"/>
      <c r="F67" s="304"/>
      <c r="G67" s="304"/>
      <c r="H67" s="304"/>
      <c r="I67" s="304"/>
      <c r="J67" s="304"/>
      <c r="K67" s="304"/>
      <c r="L67" s="304"/>
      <c r="M67" s="304"/>
      <c r="N67" s="305"/>
      <c r="O67" s="14"/>
      <c r="P67" s="7"/>
      <c r="Q67" s="7"/>
      <c r="R67" s="7"/>
      <c r="S67" s="7"/>
      <c r="T67" s="7"/>
      <c r="U67" s="7"/>
      <c r="V67" s="7"/>
      <c r="W67" s="7"/>
      <c r="X67" s="8"/>
      <c r="Y67" s="37"/>
      <c r="Z67" s="8"/>
      <c r="AA67" s="9"/>
    </row>
    <row r="68" spans="1:27" s="3" customFormat="1" ht="15.75" x14ac:dyDescent="0.2">
      <c r="A68" s="6"/>
      <c r="B68" s="6"/>
      <c r="C68" s="131"/>
      <c r="D68" s="132"/>
      <c r="E68" s="304"/>
      <c r="F68" s="304"/>
      <c r="G68" s="304"/>
      <c r="H68" s="304"/>
      <c r="I68" s="304"/>
      <c r="J68" s="304"/>
      <c r="K68" s="304"/>
      <c r="L68" s="304"/>
      <c r="M68" s="304"/>
      <c r="N68" s="305"/>
      <c r="O68" s="7"/>
      <c r="P68" s="7"/>
      <c r="Q68" s="7"/>
      <c r="R68" s="7"/>
      <c r="S68" s="7"/>
      <c r="T68" s="7"/>
      <c r="U68" s="7"/>
      <c r="V68" s="7"/>
      <c r="W68" s="7"/>
      <c r="X68" s="8"/>
      <c r="Y68" s="37"/>
      <c r="Z68" s="8"/>
      <c r="AA68" s="9"/>
    </row>
    <row r="69" spans="1:27" s="3" customFormat="1" ht="15.75" x14ac:dyDescent="0.2">
      <c r="A69" s="6"/>
      <c r="B69" s="6"/>
      <c r="C69" s="131"/>
      <c r="D69" s="132"/>
      <c r="E69" s="304"/>
      <c r="F69" s="304"/>
      <c r="G69" s="304"/>
      <c r="H69" s="304"/>
      <c r="I69" s="304"/>
      <c r="J69" s="304"/>
      <c r="K69" s="304"/>
      <c r="L69" s="304"/>
      <c r="M69" s="304"/>
      <c r="N69" s="305"/>
      <c r="O69" s="7"/>
      <c r="P69" s="7"/>
      <c r="Q69" s="7"/>
      <c r="R69" s="7"/>
      <c r="S69" s="7"/>
      <c r="T69" s="7"/>
      <c r="U69" s="7"/>
      <c r="V69" s="7"/>
      <c r="W69" s="7"/>
      <c r="X69" s="8"/>
      <c r="Y69" s="37"/>
      <c r="Z69" s="8"/>
      <c r="AA69" s="9"/>
    </row>
    <row r="70" spans="1:27" s="3" customFormat="1" ht="15.75" x14ac:dyDescent="0.2">
      <c r="A70" s="6"/>
      <c r="B70" s="6"/>
      <c r="C70" s="133"/>
      <c r="D70" s="134"/>
      <c r="E70" s="296"/>
      <c r="F70" s="296"/>
      <c r="G70" s="296"/>
      <c r="H70" s="296"/>
      <c r="I70" s="296"/>
      <c r="J70" s="296"/>
      <c r="K70" s="296"/>
      <c r="L70" s="296"/>
      <c r="M70" s="296"/>
      <c r="N70" s="297"/>
      <c r="O70" s="7"/>
      <c r="P70" s="7"/>
      <c r="Q70" s="7"/>
      <c r="R70" s="7"/>
      <c r="S70" s="7"/>
      <c r="T70" s="7"/>
      <c r="U70" s="7"/>
      <c r="V70" s="7"/>
      <c r="W70" s="7"/>
      <c r="X70" s="8"/>
      <c r="Y70" s="37"/>
      <c r="Z70" s="8"/>
      <c r="AA70" s="9"/>
    </row>
    <row r="71" spans="1:27" s="3" customFormat="1" ht="15.75" x14ac:dyDescent="0.2">
      <c r="A71" s="6"/>
      <c r="B71" s="6"/>
      <c r="C71" s="133"/>
      <c r="D71" s="134"/>
      <c r="E71" s="296"/>
      <c r="F71" s="296"/>
      <c r="G71" s="296"/>
      <c r="H71" s="296"/>
      <c r="I71" s="296"/>
      <c r="J71" s="296"/>
      <c r="K71" s="296"/>
      <c r="L71" s="296"/>
      <c r="M71" s="296"/>
      <c r="N71" s="297"/>
      <c r="O71" s="7"/>
      <c r="P71" s="7"/>
      <c r="Q71" s="7"/>
      <c r="R71" s="7"/>
      <c r="S71" s="7"/>
      <c r="T71" s="7"/>
      <c r="U71" s="7"/>
      <c r="V71" s="7"/>
      <c r="W71" s="7"/>
      <c r="X71" s="8"/>
      <c r="Y71" s="37"/>
      <c r="Z71" s="8"/>
      <c r="AA71" s="9"/>
    </row>
    <row r="72" spans="1:27" s="3" customFormat="1" ht="15.75" x14ac:dyDescent="0.2">
      <c r="A72" s="6"/>
      <c r="B72" s="6"/>
      <c r="C72" s="133"/>
      <c r="D72" s="134"/>
      <c r="E72" s="296"/>
      <c r="F72" s="296"/>
      <c r="G72" s="296"/>
      <c r="H72" s="296"/>
      <c r="I72" s="296"/>
      <c r="J72" s="296"/>
      <c r="K72" s="296"/>
      <c r="L72" s="296"/>
      <c r="M72" s="296"/>
      <c r="N72" s="297"/>
      <c r="O72" s="7"/>
      <c r="P72" s="7"/>
      <c r="Q72" s="7"/>
      <c r="R72" s="7"/>
      <c r="S72" s="7"/>
      <c r="T72" s="7"/>
      <c r="U72" s="7"/>
      <c r="V72" s="7"/>
      <c r="W72" s="7"/>
      <c r="X72" s="8"/>
      <c r="Y72" s="37"/>
      <c r="Z72" s="8"/>
      <c r="AA72" s="9"/>
    </row>
    <row r="73" spans="1:27" s="3" customFormat="1" ht="15.75" x14ac:dyDescent="0.2">
      <c r="A73" s="6"/>
      <c r="B73" s="6"/>
      <c r="C73" s="133"/>
      <c r="D73" s="134"/>
      <c r="E73" s="296"/>
      <c r="F73" s="296"/>
      <c r="G73" s="296"/>
      <c r="H73" s="296"/>
      <c r="I73" s="296"/>
      <c r="J73" s="296"/>
      <c r="K73" s="296"/>
      <c r="L73" s="296"/>
      <c r="M73" s="296"/>
      <c r="N73" s="297"/>
      <c r="O73" s="7"/>
      <c r="P73" s="7"/>
      <c r="Q73" s="7"/>
      <c r="R73" s="7"/>
      <c r="S73" s="7"/>
      <c r="T73" s="7"/>
      <c r="U73" s="7"/>
      <c r="V73" s="7"/>
      <c r="W73" s="7"/>
      <c r="X73" s="8"/>
      <c r="Y73" s="37"/>
      <c r="Z73" s="8"/>
      <c r="AA73" s="9"/>
    </row>
    <row r="74" spans="1:27" s="3" customFormat="1" ht="16.5" thickBot="1" x14ac:dyDescent="0.25">
      <c r="A74" s="6"/>
      <c r="B74" s="6"/>
      <c r="C74" s="135"/>
      <c r="D74" s="136"/>
      <c r="E74" s="298"/>
      <c r="F74" s="298"/>
      <c r="G74" s="298"/>
      <c r="H74" s="298"/>
      <c r="I74" s="298"/>
      <c r="J74" s="298"/>
      <c r="K74" s="298"/>
      <c r="L74" s="298"/>
      <c r="M74" s="298"/>
      <c r="N74" s="299"/>
      <c r="O74" s="7"/>
      <c r="P74" s="7"/>
      <c r="Q74" s="7"/>
      <c r="R74" s="7"/>
      <c r="S74" s="7"/>
      <c r="T74" s="7"/>
      <c r="U74" s="7"/>
      <c r="V74" s="7"/>
      <c r="W74" s="7"/>
      <c r="X74" s="8"/>
      <c r="Y74" s="37"/>
      <c r="Z74" s="8"/>
      <c r="AA74" s="9"/>
    </row>
    <row r="75" spans="1:27" s="3" customFormat="1" x14ac:dyDescent="0.2">
      <c r="A75" s="6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8"/>
      <c r="Y75" s="37"/>
      <c r="Z75" s="8"/>
      <c r="AA75" s="9"/>
    </row>
    <row r="76" spans="1:27" s="3" customFormat="1" x14ac:dyDescent="0.2">
      <c r="A76" s="6"/>
      <c r="B76" s="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8"/>
      <c r="Y76" s="37"/>
      <c r="Z76" s="8"/>
      <c r="AA76" s="9"/>
    </row>
    <row r="77" spans="1:27" s="3" customFormat="1" x14ac:dyDescent="0.2">
      <c r="A77" s="6"/>
      <c r="B77" s="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8"/>
      <c r="Y77" s="37"/>
      <c r="Z77" s="8"/>
      <c r="AA77" s="9"/>
    </row>
    <row r="78" spans="1:27" s="3" customFormat="1" x14ac:dyDescent="0.2">
      <c r="A78" s="6"/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8"/>
      <c r="Y78" s="37"/>
      <c r="Z78" s="8"/>
      <c r="AA78" s="9"/>
    </row>
    <row r="79" spans="1:27" s="3" customFormat="1" x14ac:dyDescent="0.2">
      <c r="A79" s="6"/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8"/>
      <c r="Y79" s="37"/>
      <c r="Z79" s="8"/>
      <c r="AA79" s="9"/>
    </row>
    <row r="80" spans="1:27" s="3" customFormat="1" x14ac:dyDescent="0.2">
      <c r="A80" s="6"/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8"/>
      <c r="Y80" s="37"/>
      <c r="Z80" s="8"/>
      <c r="AA80" s="9"/>
    </row>
    <row r="81" spans="1:27" s="3" customFormat="1" x14ac:dyDescent="0.2">
      <c r="A81" s="6"/>
      <c r="B81" s="6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8"/>
      <c r="Y81" s="37"/>
      <c r="Z81" s="8"/>
      <c r="AA81" s="9"/>
    </row>
    <row r="82" spans="1:27" s="3" customFormat="1" x14ac:dyDescent="0.2">
      <c r="A82" s="6"/>
      <c r="B82" s="6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8"/>
      <c r="Y82" s="37"/>
      <c r="Z82" s="8"/>
      <c r="AA82" s="9"/>
    </row>
    <row r="83" spans="1:27" s="3" customFormat="1" x14ac:dyDescent="0.2">
      <c r="A83" s="6"/>
      <c r="B83" s="6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8"/>
      <c r="Y83" s="37"/>
      <c r="Z83" s="8"/>
      <c r="AA83" s="9"/>
    </row>
    <row r="84" spans="1:27" s="3" customFormat="1" x14ac:dyDescent="0.2">
      <c r="A84" s="6"/>
      <c r="B84" s="6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8"/>
      <c r="Y84" s="37"/>
      <c r="Z84" s="8"/>
      <c r="AA84" s="9"/>
    </row>
    <row r="85" spans="1:27" s="3" customFormat="1" x14ac:dyDescent="0.2">
      <c r="A85" s="6"/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8"/>
      <c r="Y85" s="37"/>
      <c r="Z85" s="8"/>
      <c r="AA85" s="9"/>
    </row>
    <row r="86" spans="1:27" s="3" customFormat="1" x14ac:dyDescent="0.2">
      <c r="A86" s="6"/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8"/>
      <c r="Y86" s="37"/>
      <c r="Z86" s="8"/>
      <c r="AA86" s="9"/>
    </row>
    <row r="87" spans="1:27" s="3" customFormat="1" x14ac:dyDescent="0.2">
      <c r="A87" s="6"/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8"/>
      <c r="Y87" s="37"/>
      <c r="Z87" s="8"/>
      <c r="AA87" s="9"/>
    </row>
    <row r="88" spans="1:27" s="3" customFormat="1" x14ac:dyDescent="0.2">
      <c r="A88" s="6"/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8"/>
      <c r="Y88" s="37"/>
      <c r="Z88" s="8"/>
      <c r="AA88" s="9"/>
    </row>
    <row r="89" spans="1:27" s="3" customFormat="1" x14ac:dyDescent="0.2">
      <c r="A89" s="6"/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8"/>
      <c r="Y89" s="37"/>
      <c r="Z89" s="8"/>
      <c r="AA89" s="9"/>
    </row>
    <row r="90" spans="1:27" s="3" customFormat="1" x14ac:dyDescent="0.2">
      <c r="A90" s="6"/>
      <c r="B90" s="6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8"/>
      <c r="Y90" s="37"/>
      <c r="Z90" s="8"/>
      <c r="AA90" s="9"/>
    </row>
    <row r="91" spans="1:27" s="3" customFormat="1" x14ac:dyDescent="0.2">
      <c r="A91" s="6"/>
      <c r="B91" s="6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8"/>
      <c r="Y91" s="37"/>
      <c r="Z91" s="8"/>
      <c r="AA91" s="9"/>
    </row>
    <row r="92" spans="1:27" s="3" customFormat="1" x14ac:dyDescent="0.2">
      <c r="A92" s="6"/>
      <c r="B92" s="6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8"/>
      <c r="Y92" s="37"/>
      <c r="Z92" s="8"/>
      <c r="AA92" s="9"/>
    </row>
    <row r="93" spans="1:27" s="3" customFormat="1" x14ac:dyDescent="0.2">
      <c r="A93" s="6"/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8"/>
      <c r="Y93" s="37"/>
      <c r="Z93" s="8"/>
      <c r="AA93" s="9"/>
    </row>
    <row r="94" spans="1:27" s="3" customFormat="1" x14ac:dyDescent="0.2">
      <c r="A94" s="6"/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8"/>
      <c r="Y94" s="37"/>
      <c r="Z94" s="8"/>
      <c r="AA94" s="9"/>
    </row>
    <row r="95" spans="1:27" s="3" customFormat="1" x14ac:dyDescent="0.2">
      <c r="A95" s="6"/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8"/>
      <c r="Y95" s="37"/>
      <c r="Z95" s="8"/>
      <c r="AA95" s="9"/>
    </row>
    <row r="96" spans="1:27" s="3" customFormat="1" x14ac:dyDescent="0.2">
      <c r="A96" s="6"/>
      <c r="B96" s="6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8"/>
      <c r="Y96" s="37"/>
      <c r="Z96" s="8"/>
      <c r="AA96" s="9"/>
    </row>
    <row r="97" spans="1:27" s="3" customFormat="1" x14ac:dyDescent="0.2">
      <c r="A97" s="6"/>
      <c r="B97" s="6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8"/>
      <c r="Y97" s="37"/>
      <c r="Z97" s="8"/>
      <c r="AA97" s="9"/>
    </row>
    <row r="98" spans="1:27" s="3" customFormat="1" x14ac:dyDescent="0.2">
      <c r="A98" s="6"/>
      <c r="B98" s="6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8"/>
      <c r="Y98" s="37"/>
      <c r="Z98" s="8"/>
      <c r="AA98" s="9"/>
    </row>
    <row r="99" spans="1:27" s="3" customFormat="1" x14ac:dyDescent="0.2">
      <c r="A99" s="6"/>
      <c r="B99" s="6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8"/>
      <c r="Y99" s="37"/>
      <c r="Z99" s="8"/>
      <c r="AA99" s="9"/>
    </row>
    <row r="100" spans="1:27" s="3" customFormat="1" x14ac:dyDescent="0.2">
      <c r="A100" s="6"/>
      <c r="B100" s="6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8"/>
      <c r="Y100" s="37"/>
      <c r="Z100" s="8"/>
      <c r="AA100" s="9"/>
    </row>
    <row r="101" spans="1:27" s="3" customFormat="1" x14ac:dyDescent="0.2">
      <c r="A101" s="6"/>
      <c r="B101" s="6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8"/>
      <c r="Y101" s="37"/>
      <c r="Z101" s="8"/>
      <c r="AA101" s="9"/>
    </row>
    <row r="102" spans="1:27" s="3" customFormat="1" x14ac:dyDescent="0.2">
      <c r="A102" s="6"/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8"/>
      <c r="Y102" s="37"/>
      <c r="Z102" s="8"/>
      <c r="AA102" s="9"/>
    </row>
    <row r="103" spans="1:27" s="3" customFormat="1" x14ac:dyDescent="0.2">
      <c r="A103" s="6"/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8"/>
      <c r="Y103" s="37"/>
      <c r="Z103" s="8"/>
      <c r="AA103" s="9"/>
    </row>
    <row r="104" spans="1:27" s="3" customFormat="1" x14ac:dyDescent="0.2">
      <c r="A104" s="6"/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8"/>
      <c r="Y104" s="37"/>
      <c r="Z104" s="8"/>
      <c r="AA104" s="9"/>
    </row>
    <row r="105" spans="1:27" s="3" customFormat="1" x14ac:dyDescent="0.2">
      <c r="A105" s="6"/>
      <c r="B105" s="6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8"/>
      <c r="Y105" s="37"/>
      <c r="Z105" s="8"/>
      <c r="AA105" s="9"/>
    </row>
    <row r="106" spans="1:27" s="3" customFormat="1" x14ac:dyDescent="0.2">
      <c r="A106" s="6"/>
      <c r="B106" s="6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8"/>
      <c r="Y106" s="37"/>
      <c r="Z106" s="8"/>
      <c r="AA106" s="9"/>
    </row>
    <row r="107" spans="1:27" s="3" customFormat="1" x14ac:dyDescent="0.2">
      <c r="A107" s="6"/>
      <c r="B107" s="6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8"/>
      <c r="Y107" s="37"/>
      <c r="Z107" s="8"/>
      <c r="AA107" s="9"/>
    </row>
    <row r="108" spans="1:27" s="3" customFormat="1" x14ac:dyDescent="0.2">
      <c r="A108" s="6"/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8"/>
      <c r="Y108" s="37"/>
      <c r="Z108" s="8"/>
      <c r="AA108" s="9"/>
    </row>
    <row r="109" spans="1:27" s="3" customFormat="1" x14ac:dyDescent="0.2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8"/>
      <c r="Y109" s="37"/>
      <c r="Z109" s="8"/>
      <c r="AA109" s="9"/>
    </row>
    <row r="110" spans="1:27" s="3" customFormat="1" x14ac:dyDescent="0.2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8"/>
      <c r="Y110" s="37"/>
      <c r="Z110" s="8"/>
      <c r="AA110" s="9"/>
    </row>
    <row r="111" spans="1:27" s="3" customFormat="1" x14ac:dyDescent="0.2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8"/>
      <c r="Y111" s="37"/>
      <c r="Z111" s="8"/>
      <c r="AA111" s="9"/>
    </row>
    <row r="112" spans="1:27" s="3" customFormat="1" x14ac:dyDescent="0.2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8"/>
      <c r="Y112" s="37"/>
      <c r="Z112" s="8"/>
      <c r="AA112" s="9"/>
    </row>
    <row r="113" spans="1:27" s="3" customFormat="1" x14ac:dyDescent="0.2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8"/>
      <c r="Y113" s="37"/>
      <c r="Z113" s="8"/>
      <c r="AA113" s="9"/>
    </row>
    <row r="114" spans="1:27" s="3" customFormat="1" x14ac:dyDescent="0.2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8"/>
      <c r="Y114" s="37"/>
      <c r="Z114" s="8"/>
      <c r="AA114" s="9"/>
    </row>
    <row r="115" spans="1:27" s="3" customFormat="1" x14ac:dyDescent="0.2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8"/>
      <c r="Y115" s="37"/>
      <c r="Z115" s="8"/>
      <c r="AA115" s="9"/>
    </row>
    <row r="116" spans="1:27" s="3" customFormat="1" x14ac:dyDescent="0.2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8"/>
      <c r="Y116" s="37"/>
      <c r="Z116" s="8"/>
      <c r="AA116" s="9"/>
    </row>
    <row r="117" spans="1:27" s="3" customFormat="1" x14ac:dyDescent="0.2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8"/>
      <c r="Y117" s="37"/>
      <c r="Z117" s="8"/>
      <c r="AA117" s="9"/>
    </row>
    <row r="118" spans="1:27" s="3" customFormat="1" x14ac:dyDescent="0.2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8"/>
      <c r="Y118" s="37"/>
      <c r="Z118" s="8"/>
      <c r="AA118" s="9"/>
    </row>
    <row r="119" spans="1:27" s="3" customFormat="1" x14ac:dyDescent="0.2">
      <c r="A119" s="6"/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8"/>
      <c r="Y119" s="37"/>
      <c r="Z119" s="8"/>
      <c r="AA119" s="9"/>
    </row>
    <row r="120" spans="1:27" s="3" customFormat="1" x14ac:dyDescent="0.2">
      <c r="A120" s="6"/>
      <c r="B120" s="6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8"/>
      <c r="Y120" s="37"/>
      <c r="Z120" s="8"/>
      <c r="AA120" s="9"/>
    </row>
    <row r="121" spans="1:27" s="3" customFormat="1" x14ac:dyDescent="0.2">
      <c r="A121" s="6"/>
      <c r="B121" s="6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8"/>
      <c r="Y121" s="37"/>
      <c r="Z121" s="8"/>
      <c r="AA121" s="9"/>
    </row>
    <row r="122" spans="1:27" s="3" customFormat="1" x14ac:dyDescent="0.2">
      <c r="A122" s="6"/>
      <c r="B122" s="6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8"/>
      <c r="Y122" s="37"/>
      <c r="Z122" s="8"/>
      <c r="AA122" s="9"/>
    </row>
    <row r="123" spans="1:27" s="3" customFormat="1" x14ac:dyDescent="0.2">
      <c r="A123" s="6"/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8"/>
      <c r="Y123" s="37"/>
      <c r="Z123" s="8"/>
      <c r="AA123" s="9"/>
    </row>
    <row r="124" spans="1:27" s="3" customFormat="1" x14ac:dyDescent="0.2">
      <c r="A124" s="6"/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8"/>
      <c r="Y124" s="37"/>
      <c r="Z124" s="8"/>
      <c r="AA124" s="9"/>
    </row>
    <row r="125" spans="1:27" s="3" customFormat="1" x14ac:dyDescent="0.2">
      <c r="A125" s="6"/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8"/>
      <c r="Y125" s="37"/>
      <c r="Z125" s="8"/>
      <c r="AA125" s="9"/>
    </row>
    <row r="126" spans="1:27" s="3" customFormat="1" x14ac:dyDescent="0.2">
      <c r="A126" s="6"/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8"/>
      <c r="Y126" s="37"/>
      <c r="Z126" s="8"/>
      <c r="AA126" s="9"/>
    </row>
    <row r="127" spans="1:27" s="3" customFormat="1" x14ac:dyDescent="0.2">
      <c r="A127" s="6"/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8"/>
      <c r="Y127" s="37"/>
      <c r="Z127" s="8"/>
      <c r="AA127" s="9"/>
    </row>
    <row r="128" spans="1:27" s="3" customFormat="1" x14ac:dyDescent="0.2">
      <c r="A128" s="6"/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8"/>
      <c r="Y128" s="37"/>
      <c r="Z128" s="8"/>
      <c r="AA128" s="9"/>
    </row>
    <row r="129" spans="1:27" s="3" customFormat="1" x14ac:dyDescent="0.2">
      <c r="A129" s="6"/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8"/>
      <c r="Y129" s="37"/>
      <c r="Z129" s="8"/>
      <c r="AA129" s="9"/>
    </row>
    <row r="130" spans="1:27" s="3" customFormat="1" x14ac:dyDescent="0.2">
      <c r="A130" s="6"/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8"/>
      <c r="Y130" s="37"/>
      <c r="Z130" s="8"/>
      <c r="AA130" s="9"/>
    </row>
    <row r="131" spans="1:27" s="3" customFormat="1" x14ac:dyDescent="0.2">
      <c r="A131" s="6"/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8"/>
      <c r="Y131" s="37"/>
      <c r="Z131" s="8"/>
      <c r="AA131" s="9"/>
    </row>
    <row r="132" spans="1:27" s="3" customFormat="1" x14ac:dyDescent="0.2">
      <c r="A132" s="6"/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8"/>
      <c r="Y132" s="37"/>
      <c r="Z132" s="8"/>
      <c r="AA132" s="9"/>
    </row>
    <row r="133" spans="1:27" s="3" customFormat="1" x14ac:dyDescent="0.2">
      <c r="A133" s="6"/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8"/>
      <c r="Y133" s="37"/>
      <c r="Z133" s="8"/>
      <c r="AA133" s="9"/>
    </row>
    <row r="134" spans="1:27" s="3" customFormat="1" x14ac:dyDescent="0.2">
      <c r="A134" s="6"/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8"/>
      <c r="Y134" s="37"/>
      <c r="Z134" s="8"/>
      <c r="AA134" s="9"/>
    </row>
    <row r="135" spans="1:27" s="3" customFormat="1" x14ac:dyDescent="0.2">
      <c r="A135" s="6"/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8"/>
      <c r="Y135" s="37"/>
      <c r="Z135" s="8"/>
      <c r="AA135" s="9"/>
    </row>
    <row r="136" spans="1:27" s="3" customFormat="1" x14ac:dyDescent="0.2">
      <c r="A136" s="6"/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8"/>
      <c r="Y136" s="37"/>
      <c r="Z136" s="8"/>
      <c r="AA136" s="9"/>
    </row>
    <row r="137" spans="1:27" s="3" customFormat="1" x14ac:dyDescent="0.2">
      <c r="A137" s="6"/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8"/>
      <c r="Y137" s="37"/>
      <c r="Z137" s="8"/>
      <c r="AA137" s="9"/>
    </row>
    <row r="138" spans="1:27" s="3" customFormat="1" x14ac:dyDescent="0.2">
      <c r="A138" s="6"/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8"/>
      <c r="Y138" s="37"/>
      <c r="Z138" s="8"/>
      <c r="AA138" s="9"/>
    </row>
    <row r="139" spans="1:27" s="3" customFormat="1" x14ac:dyDescent="0.2">
      <c r="A139" s="6"/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8"/>
      <c r="Y139" s="37"/>
      <c r="Z139" s="8"/>
      <c r="AA139" s="9"/>
    </row>
    <row r="140" spans="1:27" s="3" customFormat="1" x14ac:dyDescent="0.2">
      <c r="A140" s="6"/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8"/>
      <c r="Y140" s="37"/>
      <c r="Z140" s="8"/>
      <c r="AA140" s="9"/>
    </row>
    <row r="141" spans="1:27" s="3" customFormat="1" x14ac:dyDescent="0.2">
      <c r="A141" s="6"/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8"/>
      <c r="Y141" s="37"/>
      <c r="Z141" s="8"/>
      <c r="AA141" s="9"/>
    </row>
    <row r="142" spans="1:27" s="3" customFormat="1" x14ac:dyDescent="0.2">
      <c r="A142" s="6"/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8"/>
      <c r="Y142" s="37"/>
      <c r="Z142" s="8"/>
      <c r="AA142" s="9"/>
    </row>
    <row r="143" spans="1:27" s="3" customFormat="1" x14ac:dyDescent="0.2">
      <c r="A143" s="6"/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8"/>
      <c r="Y143" s="37"/>
      <c r="Z143" s="8"/>
      <c r="AA143" s="9"/>
    </row>
    <row r="144" spans="1:27" s="3" customFormat="1" x14ac:dyDescent="0.2">
      <c r="A144" s="6"/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8"/>
      <c r="Y144" s="37"/>
      <c r="Z144" s="8"/>
      <c r="AA144" s="9"/>
    </row>
    <row r="145" spans="1:27" s="3" customFormat="1" x14ac:dyDescent="0.2">
      <c r="A145" s="6"/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8"/>
      <c r="Y145" s="37"/>
      <c r="Z145" s="8"/>
      <c r="AA145" s="9"/>
    </row>
    <row r="146" spans="1:27" s="3" customFormat="1" x14ac:dyDescent="0.2">
      <c r="A146" s="6"/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8"/>
      <c r="Y146" s="37"/>
      <c r="Z146" s="8"/>
      <c r="AA146" s="9"/>
    </row>
    <row r="147" spans="1:27" s="3" customFormat="1" x14ac:dyDescent="0.2">
      <c r="A147" s="6"/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8"/>
      <c r="Y147" s="37"/>
      <c r="Z147" s="8"/>
      <c r="AA147" s="9"/>
    </row>
    <row r="148" spans="1:27" s="3" customFormat="1" x14ac:dyDescent="0.2">
      <c r="A148" s="6"/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8"/>
      <c r="Y148" s="37"/>
      <c r="Z148" s="8"/>
      <c r="AA148" s="9"/>
    </row>
    <row r="149" spans="1:27" s="3" customFormat="1" x14ac:dyDescent="0.2">
      <c r="A149" s="6"/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8"/>
      <c r="Y149" s="37"/>
      <c r="Z149" s="8"/>
      <c r="AA149" s="9"/>
    </row>
    <row r="150" spans="1:27" s="3" customFormat="1" x14ac:dyDescent="0.2">
      <c r="A150" s="6"/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8"/>
      <c r="Y150" s="37"/>
      <c r="Z150" s="8"/>
      <c r="AA150" s="9"/>
    </row>
    <row r="151" spans="1:27" s="3" customFormat="1" x14ac:dyDescent="0.2">
      <c r="A151" s="6"/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8"/>
      <c r="Y151" s="37"/>
      <c r="Z151" s="8"/>
      <c r="AA151" s="9"/>
    </row>
    <row r="152" spans="1:27" s="3" customFormat="1" x14ac:dyDescent="0.2">
      <c r="A152" s="6"/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8"/>
      <c r="Y152" s="37"/>
      <c r="Z152" s="8"/>
      <c r="AA152" s="9"/>
    </row>
    <row r="153" spans="1:27" s="3" customFormat="1" x14ac:dyDescent="0.2">
      <c r="A153" s="6"/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8"/>
      <c r="Y153" s="37"/>
      <c r="Z153" s="8"/>
      <c r="AA153" s="9"/>
    </row>
    <row r="154" spans="1:27" s="3" customFormat="1" x14ac:dyDescent="0.2">
      <c r="A154" s="6"/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8"/>
      <c r="Y154" s="37"/>
      <c r="Z154" s="8"/>
      <c r="AA154" s="9"/>
    </row>
    <row r="155" spans="1:27" s="3" customFormat="1" x14ac:dyDescent="0.2">
      <c r="A155" s="6"/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8"/>
      <c r="Y155" s="37"/>
      <c r="Z155" s="8"/>
      <c r="AA155" s="9"/>
    </row>
    <row r="156" spans="1:27" s="3" customFormat="1" x14ac:dyDescent="0.2">
      <c r="A156" s="6"/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8"/>
      <c r="Y156" s="37"/>
      <c r="Z156" s="8"/>
      <c r="AA156" s="9"/>
    </row>
    <row r="157" spans="1:27" s="3" customFormat="1" x14ac:dyDescent="0.2">
      <c r="A157" s="6"/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8"/>
      <c r="Y157" s="37"/>
      <c r="Z157" s="8"/>
      <c r="AA157" s="9"/>
    </row>
    <row r="158" spans="1:27" s="3" customFormat="1" x14ac:dyDescent="0.2">
      <c r="A158" s="6"/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8"/>
      <c r="Y158" s="37"/>
      <c r="Z158" s="8"/>
      <c r="AA158" s="9"/>
    </row>
    <row r="159" spans="1:27" s="3" customFormat="1" x14ac:dyDescent="0.2">
      <c r="A159" s="6"/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8"/>
      <c r="Y159" s="37"/>
      <c r="Z159" s="8"/>
      <c r="AA159" s="9"/>
    </row>
    <row r="160" spans="1:27" s="3" customFormat="1" x14ac:dyDescent="0.2">
      <c r="A160" s="6"/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8"/>
      <c r="Y160" s="37"/>
      <c r="Z160" s="8"/>
      <c r="AA160" s="9"/>
    </row>
    <row r="161" spans="1:27" s="3" customFormat="1" x14ac:dyDescent="0.2">
      <c r="A161" s="6"/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8"/>
      <c r="Y161" s="37"/>
      <c r="Z161" s="8"/>
      <c r="AA161" s="9"/>
    </row>
    <row r="162" spans="1:27" s="3" customFormat="1" x14ac:dyDescent="0.2">
      <c r="A162" s="6"/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8"/>
      <c r="Y162" s="37"/>
      <c r="Z162" s="8"/>
      <c r="AA162" s="9"/>
    </row>
    <row r="163" spans="1:27" s="3" customFormat="1" x14ac:dyDescent="0.2">
      <c r="A163" s="6"/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8"/>
      <c r="Y163" s="37"/>
      <c r="Z163" s="8"/>
      <c r="AA163" s="9"/>
    </row>
    <row r="164" spans="1:27" s="3" customFormat="1" x14ac:dyDescent="0.2">
      <c r="A164" s="10"/>
      <c r="B164" s="10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"/>
      <c r="W164" s="7"/>
      <c r="X164" s="8"/>
      <c r="Y164" s="37"/>
      <c r="Z164" s="8"/>
      <c r="AA164" s="9"/>
    </row>
    <row r="165" spans="1:27" x14ac:dyDescent="0.2">
      <c r="W165" s="7"/>
      <c r="X165" s="8"/>
      <c r="Y165" s="37"/>
      <c r="Z165" s="8"/>
    </row>
    <row r="166" spans="1:27" x14ac:dyDescent="0.2">
      <c r="W166" s="7"/>
      <c r="X166" s="8"/>
      <c r="Y166" s="37"/>
      <c r="Z166" s="8"/>
    </row>
    <row r="167" spans="1:27" x14ac:dyDescent="0.2">
      <c r="W167" s="7"/>
      <c r="X167" s="8"/>
      <c r="Y167" s="37"/>
      <c r="Z167" s="8"/>
    </row>
    <row r="168" spans="1:27" x14ac:dyDescent="0.2">
      <c r="W168" s="7"/>
      <c r="X168" s="8"/>
      <c r="Y168" s="37"/>
      <c r="Z168" s="8"/>
    </row>
    <row r="169" spans="1:27" x14ac:dyDescent="0.2">
      <c r="W169" s="7"/>
      <c r="X169" s="8"/>
      <c r="Y169" s="37"/>
      <c r="Z169" s="8"/>
    </row>
    <row r="170" spans="1:27" x14ac:dyDescent="0.2">
      <c r="W170" s="7"/>
      <c r="X170" s="8"/>
      <c r="Y170" s="37"/>
      <c r="Z170" s="8"/>
    </row>
  </sheetData>
  <sheetProtection sheet="1" objects="1" scenarios="1"/>
  <mergeCells count="16">
    <mergeCell ref="E71:N71"/>
    <mergeCell ref="E72:N72"/>
    <mergeCell ref="E73:N73"/>
    <mergeCell ref="E74:N74"/>
    <mergeCell ref="Y19:Z19"/>
    <mergeCell ref="E65:N65"/>
    <mergeCell ref="E66:N66"/>
    <mergeCell ref="E67:N67"/>
    <mergeCell ref="Q54:S55"/>
    <mergeCell ref="E68:N68"/>
    <mergeCell ref="E69:N69"/>
    <mergeCell ref="Q56:S56"/>
    <mergeCell ref="E70:N70"/>
    <mergeCell ref="P52:P61"/>
    <mergeCell ref="S58:U59"/>
    <mergeCell ref="S60:U60"/>
  </mergeCells>
  <conditionalFormatting sqref="A20:Z50">
    <cfRule type="expression" dxfId="560" priority="27">
      <formula>$B20=FERIADO</formula>
    </cfRule>
    <cfRule type="expression" dxfId="559" priority="28">
      <formula>$B20=DISPENSADO</formula>
    </cfRule>
    <cfRule type="expression" dxfId="558" priority="34">
      <formula>$B20=FERIAS</formula>
    </cfRule>
    <cfRule type="expression" dxfId="557" priority="35">
      <formula>$B20=MEIO_COMPENSADO</formula>
    </cfRule>
    <cfRule type="expression" dxfId="556" priority="36">
      <formula>$B20=COMPENSADO</formula>
    </cfRule>
    <cfRule type="expression" dxfId="555" priority="37">
      <formula>$B20=EXPEDIENTE_CORRIDO</formula>
    </cfRule>
    <cfRule type="expression" dxfId="554" priority="38">
      <formula>$B20=FIM_DE_SEMANA</formula>
    </cfRule>
  </conditionalFormatting>
  <conditionalFormatting sqref="L20:L50 P20:X50 D20:G50">
    <cfRule type="cellIs" dxfId="553" priority="13" stopIfTrue="1" operator="lessThan">
      <formula>0</formula>
    </cfRule>
  </conditionalFormatting>
  <conditionalFormatting sqref="D20:G50">
    <cfRule type="expression" dxfId="552" priority="10" stopIfTrue="1">
      <formula>AND(NOT(ISBLANK(D20)),$B20=FERIAS)</formula>
    </cfRule>
    <cfRule type="notContainsBlanks" dxfId="551" priority="16">
      <formula>LEN(TRIM(D20))&gt;0</formula>
    </cfRule>
  </conditionalFormatting>
  <conditionalFormatting sqref="E20:F50">
    <cfRule type="expression" dxfId="550" priority="11" stopIfTrue="1">
      <formula>AND(AND(NOT(ISBLANK($E20)),NOT(ISBLANK($F20))),OR($B20=FERIADO,$B20=FIM_DE_SEMANA),($F20-$E20)&lt;TRUNC("1:00",6))</formula>
    </cfRule>
    <cfRule type="expression" dxfId="549" priority="17">
      <formula>AND(NOT(ISBLANK($D20)),NOT(ISBLANK($G20)))</formula>
    </cfRule>
  </conditionalFormatting>
  <conditionalFormatting sqref="H20:K50">
    <cfRule type="expression" dxfId="548" priority="14" stopIfTrue="1">
      <formula>NOT(_xlfn.ISFORMULA(H20))</formula>
    </cfRule>
    <cfRule type="expression" dxfId="547" priority="15" stopIfTrue="1">
      <formula>H20&lt;&gt;D20</formula>
    </cfRule>
  </conditionalFormatting>
  <conditionalFormatting sqref="L20:L50">
    <cfRule type="expression" dxfId="546" priority="24">
      <formula>OR(AND($L20=TIMEVALUE("8:00"),OR($B20=DIA_UTIL,$B20=MEIO_COMPENSADO,$B20=COMPENSADO)),AND($L20&gt;=TIMEVALUE("6:00"),$L20&lt;=TIMEVALUE("8:00"),$B20=EXPEDIENTE_CORRIDO))</formula>
    </cfRule>
    <cfRule type="expression" dxfId="545" priority="25">
      <formula>OR($L20&gt;TIMEVALUE("8:00"),AND($L20&gt;TIMEVALUE("0:00"),OR($B20=FERIADO,$B20=FIM_DE_SEMANA,$B20=DISPENSADO)))</formula>
    </cfRule>
    <cfRule type="expression" dxfId="544" priority="26">
      <formula>OR(AND(AND($L20&gt;TIMEVALUE("0:00"),$L20&lt;TIMEVALUE("8:00")),OR($B20=DIA_UTIL,$B20=MEIO_COMPENSADO,$B20=COMPENSADO)),AND(AND($L20&gt;TIMEVALUE("0:00"),$L20&lt;TIMEVALUE("6:00")),$B20=EXPEDIENTE_CORRIDO))</formula>
    </cfRule>
  </conditionalFormatting>
  <conditionalFormatting sqref="L20:P50 T20:T50">
    <cfRule type="expression" dxfId="543" priority="39">
      <formula>AND(L20=0,$B20=FERIADO)</formula>
    </cfRule>
    <cfRule type="expression" dxfId="542" priority="40">
      <formula>AND(L20=0,$B20=DISPENSADO)</formula>
    </cfRule>
    <cfRule type="expression" dxfId="541" priority="41">
      <formula>AND(L20=0,$B20=FERIAS)</formula>
    </cfRule>
    <cfRule type="expression" dxfId="540" priority="42">
      <formula>AND(L20=0,$B20=MEIO_COMPENSADO)</formula>
    </cfRule>
    <cfRule type="expression" dxfId="539" priority="43">
      <formula>AND(L20=0,$B20=COMPENSADO)</formula>
    </cfRule>
    <cfRule type="expression" dxfId="538" priority="44">
      <formula>AND(L20=0,$B20=EXPEDIENTE_CORRIDO)</formula>
    </cfRule>
    <cfRule type="expression" dxfId="537" priority="45">
      <formula>AND(L20=0,$B20=FIM_DE_SEMANA)</formula>
    </cfRule>
    <cfRule type="expression" dxfId="536" priority="46">
      <formula>AND(L20=0,$B20=DIA_UTIL)</formula>
    </cfRule>
  </conditionalFormatting>
  <conditionalFormatting sqref="M20:O50">
    <cfRule type="cellIs" dxfId="535" priority="18" operator="lessThan">
      <formula>0</formula>
    </cfRule>
    <cfRule type="cellIs" dxfId="534" priority="19" operator="greaterThan">
      <formula>0</formula>
    </cfRule>
  </conditionalFormatting>
  <conditionalFormatting sqref="O20:O50">
    <cfRule type="expression" dxfId="533" priority="12" stopIfTrue="1">
      <formula>IF(OR(TIPO_DE_PONTO="Comercial",$A20="Sexta"),$O20&gt;=TIMEVALUE("0:31"),$O20&gt;=TIMEVALUE("1:01"))</formula>
    </cfRule>
  </conditionalFormatting>
  <conditionalFormatting sqref="P20:P50">
    <cfRule type="cellIs" dxfId="532" priority="20" operator="greaterThan">
      <formula>0</formula>
    </cfRule>
  </conditionalFormatting>
  <conditionalFormatting sqref="P51">
    <cfRule type="cellIs" dxfId="531" priority="3" operator="greaterThan">
      <formula>0</formula>
    </cfRule>
  </conditionalFormatting>
  <conditionalFormatting sqref="Q54 W55">
    <cfRule type="cellIs" dxfId="530" priority="8" operator="greaterThan">
      <formula>0</formula>
    </cfRule>
    <cfRule type="cellIs" dxfId="529" priority="9" operator="lessThanOrEqual">
      <formula>0</formula>
    </cfRule>
  </conditionalFormatting>
  <conditionalFormatting sqref="Q20:S50">
    <cfRule type="cellIs" dxfId="528" priority="21" operator="greaterThan">
      <formula>0</formula>
    </cfRule>
  </conditionalFormatting>
  <conditionalFormatting sqref="Q51:S51">
    <cfRule type="cellIs" dxfId="527" priority="4" operator="greaterThan">
      <formula>0</formula>
    </cfRule>
  </conditionalFormatting>
  <conditionalFormatting sqref="S58">
    <cfRule type="cellIs" dxfId="526" priority="1" operator="lessThan">
      <formula>0</formula>
    </cfRule>
    <cfRule type="cellIs" dxfId="525" priority="2" operator="greaterThan">
      <formula>0</formula>
    </cfRule>
  </conditionalFormatting>
  <conditionalFormatting sqref="T20:T50">
    <cfRule type="cellIs" dxfId="524" priority="22" operator="greaterThan">
      <formula>0</formula>
    </cfRule>
  </conditionalFormatting>
  <conditionalFormatting sqref="T51">
    <cfRule type="cellIs" dxfId="523" priority="5" operator="greaterThan">
      <formula>0</formula>
    </cfRule>
  </conditionalFormatting>
  <conditionalFormatting sqref="U51 W51:X51">
    <cfRule type="cellIs" dxfId="522" priority="6" operator="greaterThan">
      <formula>0</formula>
    </cfRule>
  </conditionalFormatting>
  <conditionalFormatting sqref="U20:X50">
    <cfRule type="cellIs" dxfId="521" priority="23" operator="greaterThan">
      <formula>0</formula>
    </cfRule>
  </conditionalFormatting>
  <conditionalFormatting sqref="V51">
    <cfRule type="cellIs" dxfId="520" priority="7" operator="greaterThan">
      <formula>0</formula>
    </cfRule>
  </conditionalFormatting>
  <dataValidations disablePrompts="1" count="5"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9" xr:uid="{00000000-0002-0000-0100-00000000000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9:K19" xr:uid="{00000000-0002-0000-0100-000001000000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54:S55" xr:uid="{50D5871B-072B-4AE3-B759-D9E8C697C0FA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55" xr:uid="{611A5DDD-7867-4E68-9E11-81C349EA54C1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58:U59" xr:uid="{45973032-86AB-4329-B421-7B18E3668D3A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ASE">
    <tabColor rgb="FFFF0000"/>
  </sheetPr>
  <dimension ref="A1:BI156"/>
  <sheetViews>
    <sheetView zoomScale="70" zoomScaleNormal="70" workbookViewId="0">
      <pane ySplit="1" topLeftCell="A2" activePane="bottomLeft" state="frozen"/>
      <selection activeCell="F4" sqref="F4"/>
      <selection pane="bottomLeft" activeCell="K2" sqref="K2"/>
    </sheetView>
  </sheetViews>
  <sheetFormatPr defaultRowHeight="12" x14ac:dyDescent="0.2"/>
  <cols>
    <col min="1" max="1" width="13" style="10" customWidth="1"/>
    <col min="2" max="2" width="17.140625" style="10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FIM_DE_SEMANA,
      DIA_UTIL)))</f>
        <v>#VALUE!</v>
      </c>
      <c r="C2" s="71" t="e">
        <f ca="1">DATE(ANO,MONTH(1&amp;RIGHT(CELL("filename",$C$2),3)),1)</f>
        <v>#VALUE!</v>
      </c>
      <c r="D2" s="213"/>
      <c r="E2" s="214"/>
      <c r="F2" s="214"/>
      <c r="G2" s="215"/>
      <c r="H2" s="47" t="e" cm="1">
        <f t="array" aca="1" ref="H2" ca="1">EntradaTratada($A2,$B2,$D2,$I2,TIPO_DE_PONTO,Calendario[DIA]:Calendario[TIPO])</f>
        <v>#VALUE!</v>
      </c>
      <c r="I2" s="48" t="e" cm="1">
        <f t="array" aca="1" ref="I2" ca="1">SaidaAlmocoTratada($A2,$B2,$D2:$G2,TIPO_DE_PONTO,Calendario[DIA]:Calendario[TIPO])</f>
        <v>#VALUE!</v>
      </c>
      <c r="J2" s="48" t="e" cm="1">
        <f t="array" aca="1" ref="J2" ca="1">RetornoAlmocoTratado($A2,$B2,$D2:$G2,TIPO_DE_PONTO,Calendario[DIA]:Calendario[TIPO])</f>
        <v>#VALUE!</v>
      </c>
      <c r="K2" s="49" t="e" cm="1">
        <f t="array" aca="1" ref="K2" ca="1">SaidaTratada($A2,$B2,$D2:$G2,$J2,TIPO_DE_PONTO,Calendario[DIA]:Calendario[TIPO])</f>
        <v>#VALUE!</v>
      </c>
      <c r="L2" s="73" t="e" cm="1">
        <f t="array" aca="1" ref="L2" ca="1">Round2minute(($I2-$H2)+($K2-$J2))</f>
        <v>#VALUE!</v>
      </c>
      <c r="M2" s="74" t="e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#VALUE!</v>
      </c>
      <c r="N2" s="74" t="e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#VALUE!</v>
      </c>
      <c r="O2" s="40" t="e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#VALUE!</v>
      </c>
      <c r="P2" s="75" t="e" cm="1">
        <f t="array" aca="1" ref="P2" ca="1">IF($L2=0,
      0,
      Round2minute((-1)*SUMIF($M2:$O2,"&lt;0")-Q2-S2-R2))</f>
        <v>#VALUE!</v>
      </c>
      <c r="Q2" s="224"/>
      <c r="R2" s="225"/>
      <c r="S2" s="226"/>
      <c r="T2" s="75" t="e" cm="1">
        <f t="array" aca="1" ref="T2" ca="1">IF(OR($B2=FIM_DE_SEMANA,$B2=FERIADO,$B2=DISPENSADO,$B2=MEIO_COMPENSADO),
       Round2minute($L2-U2-V2-W2-X2),
       Round2minute(SUMIF($M2:$O2,"&gt;0")-U2-V2-W2-X2))</f>
        <v>#VALUE!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e">
        <f t="shared" ref="A3:A32" ca="1" si="0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FIM_DE_SEMANA,
      DIA_UTIL)))</f>
        <v>#VALUE!</v>
      </c>
      <c r="C3" s="35" t="e">
        <f ca="1">IF($C2="",
  "",
  IF(MONTH($C2+1)=MONTH($C2),
    $C2+1,
    ""))</f>
        <v>#VALUE!</v>
      </c>
      <c r="D3" s="216"/>
      <c r="E3" s="217"/>
      <c r="F3" s="217"/>
      <c r="G3" s="218"/>
      <c r="H3" s="157" t="e" cm="1">
        <f t="array" aca="1" ref="H3" ca="1">EntradaTratada($A3,$B3,$D3,$I3,TIPO_DE_PONTO,Calendario[DIA]:Calendario[TIPO])</f>
        <v>#VALUE!</v>
      </c>
      <c r="I3" s="137" t="e" cm="1">
        <f t="array" aca="1" ref="I3" ca="1">SaidaAlmocoTratada($A3,$B3,$D3:$G3,TIPO_DE_PONTO,Calendario[DIA]:Calendario[TIPO])</f>
        <v>#VALUE!</v>
      </c>
      <c r="J3" s="137" t="e" cm="1">
        <f t="array" aca="1" ref="J3" ca="1">RetornoAlmocoTratado($A3,$B3,$D3:$G3,TIPO_DE_PONTO,Calendario[DIA]:Calendario[TIPO])</f>
        <v>#VALUE!</v>
      </c>
      <c r="K3" s="166" t="e" cm="1">
        <f t="array" aca="1" ref="K3" ca="1">SaidaTratada($A3,$B3,$D3:$G3,$J3,TIPO_DE_PONTO,Calendario[DIA]:Calendario[TIPO])</f>
        <v>#VALUE!</v>
      </c>
      <c r="L3" s="159" t="e" cm="1">
        <f t="array" aca="1" ref="L3" ca="1">Round2minute(($I3-$H3)+($K3-$J3))</f>
        <v>#VALUE!</v>
      </c>
      <c r="M3" s="138" t="e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#VALUE!</v>
      </c>
      <c r="N3" s="138" t="e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#VALUE!</v>
      </c>
      <c r="O3" s="168" t="e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#VALUE!</v>
      </c>
      <c r="P3" s="79" t="e" cm="1">
        <f t="array" aca="1" ref="P3" ca="1">IF($L3=0,
      0,
      Round2minute((-1)*SUMIF($M3:$O3,"&lt;0")-Q3-S3-R3))</f>
        <v>#VALUE!</v>
      </c>
      <c r="Q3" s="227"/>
      <c r="R3" s="229"/>
      <c r="S3" s="226"/>
      <c r="T3" s="79" t="e" cm="1">
        <f t="array" aca="1" ref="T3" ca="1">IF(OR($B3=FIM_DE_SEMANA,$B3=FERIADO,$B3=DISPENSADO,$B3=MEIO_COMPENSADO),
       Round2minute($L3-U3-V3-W3-X3),
       Round2minute(SUMIF($M3:$O3,"&gt;0")-U3-V3-W3-X3))</f>
        <v>#VALUE!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e">
        <f t="shared" ca="1" si="0"/>
        <v>#VALUE!</v>
      </c>
      <c r="B4" s="34" t="e">
        <f ca="1">IF($C4="",
  "",
  IFERROR(VLOOKUP($C4,Calendario[],2,FALSE),
    IF(WEEKDAY($C4,2)&gt;5,
      FIM_DE_SEMANA,
      DIA_UTIL)))</f>
        <v>#VALUE!</v>
      </c>
      <c r="C4" s="35" t="e">
        <f t="shared" ref="C4:C32" ca="1" si="1">IF($C3="",
  "",
  IF(MONTH($C3+1)=MONTH($C3),
    $C3+1,
    ""))</f>
        <v>#VALUE!</v>
      </c>
      <c r="D4" s="216"/>
      <c r="E4" s="217"/>
      <c r="F4" s="217"/>
      <c r="G4" s="218"/>
      <c r="H4" s="157" t="e" cm="1">
        <f t="array" aca="1" ref="H4" ca="1">EntradaTratada($A4,$B4,$D4,$I4,TIPO_DE_PONTO,Calendario[DIA]:Calendario[TIPO])</f>
        <v>#VALUE!</v>
      </c>
      <c r="I4" s="137" t="e" cm="1">
        <f t="array" aca="1" ref="I4" ca="1">SaidaAlmocoTratada($A4,$B4,$D4:$G4,TIPO_DE_PONTO,Calendario[DIA]:Calendario[TIPO])</f>
        <v>#VALUE!</v>
      </c>
      <c r="J4" s="137" t="e" cm="1">
        <f t="array" aca="1" ref="J4" ca="1">RetornoAlmocoTratado($A4,$B4,$D4:$G4,TIPO_DE_PONTO,Calendario[DIA]:Calendario[TIPO])</f>
        <v>#VALUE!</v>
      </c>
      <c r="K4" s="166" t="e" cm="1">
        <f t="array" aca="1" ref="K4" ca="1">SaidaTratada($A4,$B4,$D4:$G4,$J4,TIPO_DE_PONTO,Calendario[DIA]:Calendario[TIPO])</f>
        <v>#VALUE!</v>
      </c>
      <c r="L4" s="159" t="e" cm="1">
        <f t="array" aca="1" ref="L4" ca="1">Round2minute(($I4-$H4)+($K4-$J4))</f>
        <v>#VALUE!</v>
      </c>
      <c r="M4" s="138" t="e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#VALUE!</v>
      </c>
      <c r="N4" s="138" t="e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#VALUE!</v>
      </c>
      <c r="O4" s="168" t="e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#VALUE!</v>
      </c>
      <c r="P4" s="79" t="e" cm="1">
        <f t="array" aca="1" ref="P4" ca="1">IF($L4=0,
      0,
      Round2minute((-1)*SUMIF($M4:$O4,"&lt;0")-Q4-S4-R4))</f>
        <v>#VALUE!</v>
      </c>
      <c r="Q4" s="227"/>
      <c r="R4" s="229"/>
      <c r="S4" s="228"/>
      <c r="T4" s="79" t="e" cm="1">
        <f t="array" aca="1" ref="T4" ca="1">IF(OR($B4=FIM_DE_SEMANA,$B4=FERIADO,$B4=DISPENSADO,$B4=MEIO_COMPENSADO),
       Round2minute($L4-U4-V4-W4-X4),
       Round2minute(SUMIF($M4:$O4,"&gt;0")-U4-V4-W4-X4))</f>
        <v>#VALUE!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e">
        <f t="shared" ca="1" si="0"/>
        <v>#VALUE!</v>
      </c>
      <c r="B5" s="34" t="e">
        <f ca="1">IF($C5="",
  "",
  IFERROR(VLOOKUP($C5,Calendario[],2,FALSE),
    IF(WEEKDAY($C5,2)&gt;5,
      FIM_DE_SEMANA,
      DIA_UTIL)))</f>
        <v>#VALUE!</v>
      </c>
      <c r="C5" s="35" t="e">
        <f t="shared" ca="1" si="1"/>
        <v>#VALUE!</v>
      </c>
      <c r="D5" s="216"/>
      <c r="E5" s="217"/>
      <c r="F5" s="217"/>
      <c r="G5" s="218"/>
      <c r="H5" s="157" t="e" cm="1">
        <f t="array" aca="1" ref="H5" ca="1">EntradaTratada($A5,$B5,$D5,$I5,TIPO_DE_PONTO,Calendario[DIA]:Calendario[TIPO])</f>
        <v>#VALUE!</v>
      </c>
      <c r="I5" s="137" t="e" cm="1">
        <f t="array" aca="1" ref="I5" ca="1">SaidaAlmocoTratada($A5,$B5,$D5:$G5,TIPO_DE_PONTO,Calendario[DIA]:Calendario[TIPO])</f>
        <v>#VALUE!</v>
      </c>
      <c r="J5" s="137" t="e" cm="1">
        <f t="array" aca="1" ref="J5" ca="1">RetornoAlmocoTratado($A5,$B5,$D5:$G5,TIPO_DE_PONTO,Calendario[DIA]:Calendario[TIPO])</f>
        <v>#VALUE!</v>
      </c>
      <c r="K5" s="166" t="e" cm="1">
        <f t="array" aca="1" ref="K5" ca="1">SaidaTratada($A5,$B5,$D5:$G5,$J5,TIPO_DE_PONTO,Calendario[DIA]:Calendario[TIPO])</f>
        <v>#VALUE!</v>
      </c>
      <c r="L5" s="159" t="e" cm="1">
        <f t="array" aca="1" ref="L5" ca="1">Round2minute(($I5-$H5)+($K5-$J5))</f>
        <v>#VALUE!</v>
      </c>
      <c r="M5" s="138" t="e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#VALUE!</v>
      </c>
      <c r="N5" s="138" t="e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#VALUE!</v>
      </c>
      <c r="O5" s="168" t="e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#VALUE!</v>
      </c>
      <c r="P5" s="79" t="e" cm="1">
        <f t="array" aca="1" ref="P5" ca="1">IF($L5=0,
      0,
      Round2minute((-1)*SUMIF($M5:$O5,"&lt;0")-Q5-S5-R5))</f>
        <v>#VALUE!</v>
      </c>
      <c r="Q5" s="227"/>
      <c r="R5" s="229"/>
      <c r="S5" s="228"/>
      <c r="T5" s="79" t="e" cm="1">
        <f t="array" aca="1" ref="T5" ca="1">IF(OR($B5=FIM_DE_SEMANA,$B5=FERIADO,$B5=DISPENSADO,$B5=MEIO_COMPENSADO),
       Round2minute($L5-U5-V5-W5-X5),
       Round2minute(SUMIF($M5:$O5,"&gt;0")-U5-V5-W5-X5))</f>
        <v>#VALUE!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e">
        <f t="shared" ca="1" si="0"/>
        <v>#VALUE!</v>
      </c>
      <c r="B6" s="34" t="e">
        <f ca="1">IF($C6="",
  "",
  IFERROR(VLOOKUP($C6,Calendario[],2,FALSE),
    IF(WEEKDAY($C6,2)&gt;5,
      FIM_DE_SEMANA,
      DIA_UTIL)))</f>
        <v>#VALUE!</v>
      </c>
      <c r="C6" s="35" t="e">
        <f t="shared" ca="1" si="1"/>
        <v>#VALUE!</v>
      </c>
      <c r="D6" s="216"/>
      <c r="E6" s="217"/>
      <c r="F6" s="217"/>
      <c r="G6" s="218"/>
      <c r="H6" s="157" t="e" cm="1">
        <f t="array" aca="1" ref="H6" ca="1">EntradaTratada($A6,$B6,$D6,$I6,TIPO_DE_PONTO,Calendario[DIA]:Calendario[TIPO])</f>
        <v>#VALUE!</v>
      </c>
      <c r="I6" s="137" t="e" cm="1">
        <f t="array" aca="1" ref="I6" ca="1">SaidaAlmocoTratada($A6,$B6,$D6:$G6,TIPO_DE_PONTO,Calendario[DIA]:Calendario[TIPO])</f>
        <v>#VALUE!</v>
      </c>
      <c r="J6" s="137" t="e" cm="1">
        <f t="array" aca="1" ref="J6" ca="1">RetornoAlmocoTratado($A6,$B6,$D6:$G6,TIPO_DE_PONTO,Calendario[DIA]:Calendario[TIPO])</f>
        <v>#VALUE!</v>
      </c>
      <c r="K6" s="166" t="e" cm="1">
        <f t="array" aca="1" ref="K6" ca="1">SaidaTratada($A6,$B6,$D6:$G6,$J6,TIPO_DE_PONTO,Calendario[DIA]:Calendario[TIPO])</f>
        <v>#VALUE!</v>
      </c>
      <c r="L6" s="159" t="e" cm="1">
        <f t="array" aca="1" ref="L6" ca="1">Round2minute(($I6-$H6)+($K6-$J6))</f>
        <v>#VALUE!</v>
      </c>
      <c r="M6" s="138" t="e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#VALUE!</v>
      </c>
      <c r="N6" s="138" t="e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#VALUE!</v>
      </c>
      <c r="O6" s="168" t="e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#VALUE!</v>
      </c>
      <c r="P6" s="79" t="e" cm="1">
        <f t="array" aca="1" ref="P6" ca="1">IF($L6=0,
      0,
      Round2minute((-1)*SUMIF($M6:$O6,"&lt;0")-Q6-S6-R6))</f>
        <v>#VALUE!</v>
      </c>
      <c r="Q6" s="227"/>
      <c r="R6" s="229"/>
      <c r="S6" s="228"/>
      <c r="T6" s="79" t="e" cm="1">
        <f t="array" aca="1" ref="T6" ca="1">IF(OR($B6=FIM_DE_SEMANA,$B6=FERIADO,$B6=DISPENSADO,$B6=MEIO_COMPENSADO),
       Round2minute($L6-U6-V6-W6-X6),
       Round2minute(SUMIF($M6:$O6,"&gt;0")-U6-V6-W6-X6))</f>
        <v>#VALUE!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e">
        <f t="shared" ca="1" si="0"/>
        <v>#VALUE!</v>
      </c>
      <c r="B7" s="34" t="e">
        <f ca="1">IF($C7="",
  "",
  IFERROR(VLOOKUP($C7,Calendario[],2,FALSE),
    IF(WEEKDAY($C7,2)&gt;5,
      FIM_DE_SEMANA,
      DIA_UTIL)))</f>
        <v>#VALUE!</v>
      </c>
      <c r="C7" s="35" t="e">
        <f t="shared" ca="1" si="1"/>
        <v>#VALUE!</v>
      </c>
      <c r="D7" s="216"/>
      <c r="E7" s="217"/>
      <c r="F7" s="217"/>
      <c r="G7" s="218"/>
      <c r="H7" s="157" t="e" cm="1">
        <f t="array" aca="1" ref="H7" ca="1">EntradaTratada($A7,$B7,$D7,$I7,TIPO_DE_PONTO,Calendario[DIA]:Calendario[TIPO])</f>
        <v>#VALUE!</v>
      </c>
      <c r="I7" s="137" t="e" cm="1">
        <f t="array" aca="1" ref="I7" ca="1">SaidaAlmocoTratada($A7,$B7,$D7:$G7,TIPO_DE_PONTO,Calendario[DIA]:Calendario[TIPO])</f>
        <v>#VALUE!</v>
      </c>
      <c r="J7" s="137" t="e" cm="1">
        <f t="array" aca="1" ref="J7" ca="1">RetornoAlmocoTratado($A7,$B7,$D7:$G7,TIPO_DE_PONTO,Calendario[DIA]:Calendario[TIPO])</f>
        <v>#VALUE!</v>
      </c>
      <c r="K7" s="166" t="e" cm="1">
        <f t="array" aca="1" ref="K7" ca="1">SaidaTratada($A7,$B7,$D7:$G7,$J7,TIPO_DE_PONTO,Calendario[DIA]:Calendario[TIPO])</f>
        <v>#VALUE!</v>
      </c>
      <c r="L7" s="159" t="e" cm="1">
        <f t="array" aca="1" ref="L7" ca="1">Round2minute(($I7-$H7)+($K7-$J7))</f>
        <v>#VALUE!</v>
      </c>
      <c r="M7" s="138" t="e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#VALUE!</v>
      </c>
      <c r="N7" s="138" t="e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#VALUE!</v>
      </c>
      <c r="O7" s="168" t="e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#VALUE!</v>
      </c>
      <c r="P7" s="79" t="e" cm="1">
        <f t="array" aca="1" ref="P7" ca="1">IF($L7=0,
      0,
      Round2minute((-1)*SUMIF($M7:$O7,"&lt;0")-Q7-S7-R7))</f>
        <v>#VALUE!</v>
      </c>
      <c r="Q7" s="227"/>
      <c r="R7" s="229"/>
      <c r="S7" s="228"/>
      <c r="T7" s="79" t="e" cm="1">
        <f t="array" aca="1" ref="T7" ca="1">IF(OR($B7=FIM_DE_SEMANA,$B7=FERIADO,$B7=DISPENSADO,$B7=MEIO_COMPENSADO),
       Round2minute($L7-U7-V7-W7-X7),
       Round2minute(SUMIF($M7:$O7,"&gt;0")-U7-V7-W7-X7))</f>
        <v>#VALUE!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e">
        <f t="shared" ca="1" si="0"/>
        <v>#VALUE!</v>
      </c>
      <c r="B8" s="34" t="e">
        <f ca="1">IF($C8="",
  "",
  IFERROR(VLOOKUP($C8,Calendario[],2,FALSE),
    IF(WEEKDAY($C8,2)&gt;5,
      FIM_DE_SEMANA,
      DIA_UTIL)))</f>
        <v>#VALUE!</v>
      </c>
      <c r="C8" s="35" t="e">
        <f t="shared" ca="1" si="1"/>
        <v>#VALUE!</v>
      </c>
      <c r="D8" s="216"/>
      <c r="E8" s="217"/>
      <c r="F8" s="217"/>
      <c r="G8" s="218"/>
      <c r="H8" s="157" t="e" cm="1">
        <f t="array" aca="1" ref="H8" ca="1">EntradaTratada($A8,$B8,$D8,$I8,TIPO_DE_PONTO,Calendario[DIA]:Calendario[TIPO])</f>
        <v>#VALUE!</v>
      </c>
      <c r="I8" s="137" t="e" cm="1">
        <f t="array" aca="1" ref="I8" ca="1">SaidaAlmocoTratada($A8,$B8,$D8:$G8,TIPO_DE_PONTO,Calendario[DIA]:Calendario[TIPO])</f>
        <v>#VALUE!</v>
      </c>
      <c r="J8" s="137" t="e" cm="1">
        <f t="array" aca="1" ref="J8" ca="1">RetornoAlmocoTratado($A8,$B8,$D8:$G8,TIPO_DE_PONTO,Calendario[DIA]:Calendario[TIPO])</f>
        <v>#VALUE!</v>
      </c>
      <c r="K8" s="166" t="e" cm="1">
        <f t="array" aca="1" ref="K8" ca="1">SaidaTratada($A8,$B8,$D8:$G8,$J8,TIPO_DE_PONTO,Calendario[DIA]:Calendario[TIPO])</f>
        <v>#VALUE!</v>
      </c>
      <c r="L8" s="159" t="e" cm="1">
        <f t="array" aca="1" ref="L8" ca="1">Round2minute(($I8-$H8)+($K8-$J8))</f>
        <v>#VALUE!</v>
      </c>
      <c r="M8" s="138" t="e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#VALUE!</v>
      </c>
      <c r="N8" s="138" t="e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#VALUE!</v>
      </c>
      <c r="O8" s="168" t="e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#VALUE!</v>
      </c>
      <c r="P8" s="79" t="e" cm="1">
        <f t="array" aca="1" ref="P8" ca="1">IF($L8=0,
      0,
      Round2minute((-1)*SUMIF($M8:$O8,"&lt;0")-Q8-S8-R8))</f>
        <v>#VALUE!</v>
      </c>
      <c r="Q8" s="227"/>
      <c r="R8" s="229"/>
      <c r="S8" s="228"/>
      <c r="T8" s="79" t="e" cm="1">
        <f t="array" aca="1" ref="T8" ca="1">IF(OR($B8=FIM_DE_SEMANA,$B8=FERIADO,$B8=DISPENSADO,$B8=MEIO_COMPENSADO),
       Round2minute($L8-U8-V8-W8-X8),
       Round2minute(SUMIF($M8:$O8,"&gt;0")-U8-V8-W8-X8))</f>
        <v>#VALUE!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e">
        <f t="shared" ca="1" si="0"/>
        <v>#VALUE!</v>
      </c>
      <c r="B9" s="34" t="e">
        <f ca="1">IF($C9="",
  "",
  IFERROR(VLOOKUP($C9,Calendario[],2,FALSE),
    IF(WEEKDAY($C9,2)&gt;5,
      FIM_DE_SEMANA,
      DIA_UTIL)))</f>
        <v>#VALUE!</v>
      </c>
      <c r="C9" s="35" t="e">
        <f t="shared" ca="1" si="1"/>
        <v>#VALUE!</v>
      </c>
      <c r="D9" s="216"/>
      <c r="E9" s="217"/>
      <c r="F9" s="217"/>
      <c r="G9" s="218"/>
      <c r="H9" s="157" t="e" cm="1">
        <f t="array" aca="1" ref="H9" ca="1">EntradaTratada($A9,$B9,$D9,$I9,TIPO_DE_PONTO,Calendario[DIA]:Calendario[TIPO])</f>
        <v>#VALUE!</v>
      </c>
      <c r="I9" s="137" t="e" cm="1">
        <f t="array" aca="1" ref="I9" ca="1">SaidaAlmocoTratada($A9,$B9,$D9:$G9,TIPO_DE_PONTO,Calendario[DIA]:Calendario[TIPO])</f>
        <v>#VALUE!</v>
      </c>
      <c r="J9" s="137" t="e" cm="1">
        <f t="array" aca="1" ref="J9" ca="1">RetornoAlmocoTratado($A9,$B9,$D9:$G9,TIPO_DE_PONTO,Calendario[DIA]:Calendario[TIPO])</f>
        <v>#VALUE!</v>
      </c>
      <c r="K9" s="166" t="e" cm="1">
        <f t="array" aca="1" ref="K9" ca="1">SaidaTratada($A9,$B9,$D9:$G9,$J9,TIPO_DE_PONTO,Calendario[DIA]:Calendario[TIPO])</f>
        <v>#VALUE!</v>
      </c>
      <c r="L9" s="159" t="e" cm="1">
        <f t="array" aca="1" ref="L9" ca="1">Round2minute(($I9-$H9)+($K9-$J9))</f>
        <v>#VALUE!</v>
      </c>
      <c r="M9" s="138" t="e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#VALUE!</v>
      </c>
      <c r="N9" s="138" t="e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#VALUE!</v>
      </c>
      <c r="O9" s="168" t="e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#VALUE!</v>
      </c>
      <c r="P9" s="79" t="e" cm="1">
        <f t="array" aca="1" ref="P9" ca="1">IF($L9=0,
      0,
      Round2minute((-1)*SUMIF($M9:$O9,"&lt;0")-Q9-S9-R9))</f>
        <v>#VALUE!</v>
      </c>
      <c r="Q9" s="227"/>
      <c r="R9" s="229"/>
      <c r="S9" s="228"/>
      <c r="T9" s="79" t="e" cm="1">
        <f t="array" aca="1" ref="T9" ca="1">IF(OR($B9=FIM_DE_SEMANA,$B9=FERIADO,$B9=DISPENSADO,$B9=MEIO_COMPENSADO),
       Round2minute($L9-U9-V9-W9-X9),
       Round2minute(SUMIF($M9:$O9,"&gt;0")-U9-V9-W9-X9))</f>
        <v>#VALUE!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e">
        <f t="shared" ca="1" si="0"/>
        <v>#VALUE!</v>
      </c>
      <c r="B10" s="34" t="e">
        <f ca="1">IF($C10="",
  "",
  IFERROR(VLOOKUP($C10,Calendario[],2,FALSE),
    IF(WEEKDAY($C10,2)&gt;5,
      FIM_DE_SEMANA,
      DIA_UTIL)))</f>
        <v>#VALUE!</v>
      </c>
      <c r="C10" s="35" t="e">
        <f t="shared" ca="1" si="1"/>
        <v>#VALUE!</v>
      </c>
      <c r="D10" s="216"/>
      <c r="E10" s="217"/>
      <c r="F10" s="217"/>
      <c r="G10" s="218"/>
      <c r="H10" s="157" t="e" cm="1">
        <f t="array" aca="1" ref="H10" ca="1">EntradaTratada($A10,$B10,$D10,$I10,TIPO_DE_PONTO,Calendario[DIA]:Calendario[TIPO])</f>
        <v>#VALUE!</v>
      </c>
      <c r="I10" s="137" t="e" cm="1">
        <f t="array" aca="1" ref="I10" ca="1">SaidaAlmocoTratada($A10,$B10,$D10:$G10,TIPO_DE_PONTO,Calendario[DIA]:Calendario[TIPO])</f>
        <v>#VALUE!</v>
      </c>
      <c r="J10" s="137" t="e" cm="1">
        <f t="array" aca="1" ref="J10" ca="1">RetornoAlmocoTratado($A10,$B10,$D10:$G10,TIPO_DE_PONTO,Calendario[DIA]:Calendario[TIPO])</f>
        <v>#VALUE!</v>
      </c>
      <c r="K10" s="166" t="e" cm="1">
        <f t="array" aca="1" ref="K10" ca="1">SaidaTratada($A10,$B10,$D10:$G10,$J10,TIPO_DE_PONTO,Calendario[DIA]:Calendario[TIPO])</f>
        <v>#VALUE!</v>
      </c>
      <c r="L10" s="159" t="e" cm="1">
        <f t="array" aca="1" ref="L10" ca="1">Round2minute(($I10-$H10)+($K10-$J10))</f>
        <v>#VALUE!</v>
      </c>
      <c r="M10" s="138" t="e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#VALUE!</v>
      </c>
      <c r="N10" s="138" t="e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#VALUE!</v>
      </c>
      <c r="O10" s="168" t="e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#VALUE!</v>
      </c>
      <c r="P10" s="79" t="e" cm="1">
        <f t="array" aca="1" ref="P10" ca="1">IF($L10=0,
      0,
      Round2minute((-1)*SUMIF($M10:$O10,"&lt;0")-Q10-S10-R10))</f>
        <v>#VALUE!</v>
      </c>
      <c r="Q10" s="227"/>
      <c r="R10" s="229"/>
      <c r="S10" s="228"/>
      <c r="T10" s="79" t="e" cm="1">
        <f t="array" aca="1" ref="T10" ca="1">IF(OR($B10=FIM_DE_SEMANA,$B10=FERIADO,$B10=DISPENSADO,$B10=MEIO_COMPENSADO),
       Round2minute($L10-U10-V10-W10-X10),
       Round2minute(SUMIF($M10:$O10,"&gt;0")-U10-V10-W10-X10))</f>
        <v>#VALUE!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e">
        <f t="shared" ca="1" si="0"/>
        <v>#VALUE!</v>
      </c>
      <c r="B11" s="34" t="e">
        <f ca="1">IF($C11="",
  "",
  IFERROR(VLOOKUP($C11,Calendario[],2,FALSE),
    IF(WEEKDAY($C11,2)&gt;5,
      FIM_DE_SEMANA,
      DIA_UTIL)))</f>
        <v>#VALUE!</v>
      </c>
      <c r="C11" s="35" t="e">
        <f t="shared" ca="1" si="1"/>
        <v>#VALUE!</v>
      </c>
      <c r="D11" s="216"/>
      <c r="E11" s="217"/>
      <c r="F11" s="217"/>
      <c r="G11" s="218"/>
      <c r="H11" s="157" t="e" cm="1">
        <f t="array" aca="1" ref="H11" ca="1">EntradaTratada($A11,$B11,$D11,$I11,TIPO_DE_PONTO,Calendario[DIA]:Calendario[TIPO])</f>
        <v>#VALUE!</v>
      </c>
      <c r="I11" s="137" t="e" cm="1">
        <f t="array" aca="1" ref="I11" ca="1">SaidaAlmocoTratada($A11,$B11,$D11:$G11,TIPO_DE_PONTO,Calendario[DIA]:Calendario[TIPO])</f>
        <v>#VALUE!</v>
      </c>
      <c r="J11" s="137" t="e" cm="1">
        <f t="array" aca="1" ref="J11" ca="1">RetornoAlmocoTratado($A11,$B11,$D11:$G11,TIPO_DE_PONTO,Calendario[DIA]:Calendario[TIPO])</f>
        <v>#VALUE!</v>
      </c>
      <c r="K11" s="166" t="e" cm="1">
        <f t="array" aca="1" ref="K11" ca="1">SaidaTratada($A11,$B11,$D11:$G11,$J11,TIPO_DE_PONTO,Calendario[DIA]:Calendario[TIPO])</f>
        <v>#VALUE!</v>
      </c>
      <c r="L11" s="159" t="e" cm="1">
        <f t="array" aca="1" ref="L11" ca="1">Round2minute(($I11-$H11)+($K11-$J11))</f>
        <v>#VALUE!</v>
      </c>
      <c r="M11" s="138" t="e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#VALUE!</v>
      </c>
      <c r="N11" s="138" t="e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#VALUE!</v>
      </c>
      <c r="O11" s="168" t="e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#VALUE!</v>
      </c>
      <c r="P11" s="79" t="e" cm="1">
        <f t="array" aca="1" ref="P11" ca="1">IF($L11=0,
      0,
      Round2minute((-1)*SUMIF($M11:$O11,"&lt;0")-Q11-S11-R11))</f>
        <v>#VALUE!</v>
      </c>
      <c r="Q11" s="227"/>
      <c r="R11" s="229"/>
      <c r="S11" s="228"/>
      <c r="T11" s="79" t="e" cm="1">
        <f t="array" aca="1" ref="T11" ca="1">IF(OR($B11=FIM_DE_SEMANA,$B11=FERIADO,$B11=DISPENSADO,$B11=MEIO_COMPENSADO),
       Round2minute($L11-U11-V11-W11-X11),
       Round2minute(SUMIF($M11:$O11,"&gt;0")-U11-V11-W11-X11))</f>
        <v>#VALUE!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e">
        <f t="shared" ca="1" si="0"/>
        <v>#VALUE!</v>
      </c>
      <c r="B12" s="34" t="e">
        <f ca="1">IF($C12="",
  "",
  IFERROR(VLOOKUP($C12,Calendario[],2,FALSE),
    IF(WEEKDAY($C12,2)&gt;5,
      FIM_DE_SEMANA,
      DIA_UTIL)))</f>
        <v>#VALUE!</v>
      </c>
      <c r="C12" s="35" t="e">
        <f t="shared" ca="1" si="1"/>
        <v>#VALUE!</v>
      </c>
      <c r="D12" s="216"/>
      <c r="E12" s="217"/>
      <c r="F12" s="217"/>
      <c r="G12" s="218"/>
      <c r="H12" s="157" t="e" cm="1">
        <f t="array" aca="1" ref="H12" ca="1">EntradaTratada($A12,$B12,$D12,$I12,TIPO_DE_PONTO,Calendario[DIA]:Calendario[TIPO])</f>
        <v>#VALUE!</v>
      </c>
      <c r="I12" s="137" t="e" cm="1">
        <f t="array" aca="1" ref="I12" ca="1">SaidaAlmocoTratada($A12,$B12,$D12:$G12,TIPO_DE_PONTO,Calendario[DIA]:Calendario[TIPO])</f>
        <v>#VALUE!</v>
      </c>
      <c r="J12" s="137" t="e" cm="1">
        <f t="array" aca="1" ref="J12" ca="1">RetornoAlmocoTratado($A12,$B12,$D12:$G12,TIPO_DE_PONTO,Calendario[DIA]:Calendario[TIPO])</f>
        <v>#VALUE!</v>
      </c>
      <c r="K12" s="166" t="e" cm="1">
        <f t="array" aca="1" ref="K12" ca="1">SaidaTratada($A12,$B12,$D12:$G12,$J12,TIPO_DE_PONTO,Calendario[DIA]:Calendario[TIPO])</f>
        <v>#VALUE!</v>
      </c>
      <c r="L12" s="159" t="e" cm="1">
        <f t="array" aca="1" ref="L12" ca="1">Round2minute(($I12-$H12)+($K12-$J12))</f>
        <v>#VALUE!</v>
      </c>
      <c r="M12" s="138" t="e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#VALUE!</v>
      </c>
      <c r="N12" s="138" t="e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#VALUE!</v>
      </c>
      <c r="O12" s="168" t="e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#VALUE!</v>
      </c>
      <c r="P12" s="79" t="e" cm="1">
        <f t="array" aca="1" ref="P12" ca="1">IF($L12=0,
      0,
      Round2minute((-1)*SUMIF($M12:$O12,"&lt;0")-Q12-S12-R12))</f>
        <v>#VALUE!</v>
      </c>
      <c r="Q12" s="227"/>
      <c r="R12" s="229"/>
      <c r="S12" s="228"/>
      <c r="T12" s="79" t="e" cm="1">
        <f t="array" aca="1" ref="T12" ca="1">IF(OR($B12=FIM_DE_SEMANA,$B12=FERIADO,$B12=DISPENSADO,$B12=MEIO_COMPENSADO),
       Round2minute($L12-U12-V12-W12-X12),
       Round2minute(SUMIF($M12:$O12,"&gt;0")-U12-V12-W12-X12))</f>
        <v>#VALUE!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e">
        <f t="shared" ca="1" si="0"/>
        <v>#VALUE!</v>
      </c>
      <c r="B13" s="34" t="e">
        <f ca="1">IF($C13="",
  "",
  IFERROR(VLOOKUP($C13,Calendario[],2,FALSE),
    IF(WEEKDAY($C13,2)&gt;5,
      FIM_DE_SEMANA,
      DIA_UTIL)))</f>
        <v>#VALUE!</v>
      </c>
      <c r="C13" s="35" t="e">
        <f t="shared" ca="1" si="1"/>
        <v>#VALUE!</v>
      </c>
      <c r="D13" s="216"/>
      <c r="E13" s="217"/>
      <c r="F13" s="217"/>
      <c r="G13" s="218"/>
      <c r="H13" s="157" t="e" cm="1">
        <f t="array" aca="1" ref="H13" ca="1">EntradaTratada($A13,$B13,$D13,$I13,TIPO_DE_PONTO,Calendario[DIA]:Calendario[TIPO])</f>
        <v>#VALUE!</v>
      </c>
      <c r="I13" s="137" t="e" cm="1">
        <f t="array" aca="1" ref="I13" ca="1">SaidaAlmocoTratada($A13,$B13,$D13:$G13,TIPO_DE_PONTO,Calendario[DIA]:Calendario[TIPO])</f>
        <v>#VALUE!</v>
      </c>
      <c r="J13" s="137" t="e" cm="1">
        <f t="array" aca="1" ref="J13" ca="1">RetornoAlmocoTratado($A13,$B13,$D13:$G13,TIPO_DE_PONTO,Calendario[DIA]:Calendario[TIPO])</f>
        <v>#VALUE!</v>
      </c>
      <c r="K13" s="166" t="e" cm="1">
        <f t="array" aca="1" ref="K13" ca="1">SaidaTratada($A13,$B13,$D13:$G13,$J13,TIPO_DE_PONTO,Calendario[DIA]:Calendario[TIPO])</f>
        <v>#VALUE!</v>
      </c>
      <c r="L13" s="159" t="e" cm="1">
        <f t="array" aca="1" ref="L13" ca="1">Round2minute(($I13-$H13)+($K13-$J13))</f>
        <v>#VALUE!</v>
      </c>
      <c r="M13" s="138" t="e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#VALUE!</v>
      </c>
      <c r="N13" s="138" t="e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#VALUE!</v>
      </c>
      <c r="O13" s="168" t="e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#VALUE!</v>
      </c>
      <c r="P13" s="79" t="e" cm="1">
        <f t="array" aca="1" ref="P13" ca="1">IF($L13=0,
      0,
      Round2minute((-1)*SUMIF($M13:$O13,"&lt;0")-Q13-S13-R13))</f>
        <v>#VALUE!</v>
      </c>
      <c r="Q13" s="227"/>
      <c r="R13" s="229"/>
      <c r="S13" s="228"/>
      <c r="T13" s="79" t="e" cm="1">
        <f t="array" aca="1" ref="T13" ca="1">IF(OR($B13=FIM_DE_SEMANA,$B13=FERIADO,$B13=DISPENSADO,$B13=MEIO_COMPENSADO),
       Round2minute($L13-U13-V13-W13-X13),
       Round2minute(SUMIF($M13:$O13,"&gt;0")-U13-V13-W13-X13))</f>
        <v>#VALUE!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e">
        <f t="shared" ca="1" si="0"/>
        <v>#VALUE!</v>
      </c>
      <c r="B14" s="34" t="e">
        <f ca="1">IF($C14="",
  "",
  IFERROR(VLOOKUP($C14,Calendario[],2,FALSE),
    IF(WEEKDAY($C14,2)&gt;5,
      FIM_DE_SEMANA,
      DIA_UTIL)))</f>
        <v>#VALUE!</v>
      </c>
      <c r="C14" s="35" t="e">
        <f t="shared" ca="1" si="1"/>
        <v>#VALUE!</v>
      </c>
      <c r="D14" s="216"/>
      <c r="E14" s="217"/>
      <c r="F14" s="217"/>
      <c r="G14" s="218"/>
      <c r="H14" s="157" t="e" cm="1">
        <f t="array" aca="1" ref="H14" ca="1">EntradaTratada($A14,$B14,$D14,$I14,TIPO_DE_PONTO,Calendario[DIA]:Calendario[TIPO])</f>
        <v>#VALUE!</v>
      </c>
      <c r="I14" s="137" t="e" cm="1">
        <f t="array" aca="1" ref="I14" ca="1">SaidaAlmocoTratada($A14,$B14,$D14:$G14,TIPO_DE_PONTO,Calendario[DIA]:Calendario[TIPO])</f>
        <v>#VALUE!</v>
      </c>
      <c r="J14" s="137" t="e" cm="1">
        <f t="array" aca="1" ref="J14" ca="1">RetornoAlmocoTratado($A14,$B14,$D14:$G14,TIPO_DE_PONTO,Calendario[DIA]:Calendario[TIPO])</f>
        <v>#VALUE!</v>
      </c>
      <c r="K14" s="166" t="e" cm="1">
        <f t="array" aca="1" ref="K14" ca="1">SaidaTratada($A14,$B14,$D14:$G14,$J14,TIPO_DE_PONTO,Calendario[DIA]:Calendario[TIPO])</f>
        <v>#VALUE!</v>
      </c>
      <c r="L14" s="159" t="e" cm="1">
        <f t="array" aca="1" ref="L14" ca="1">Round2minute(($I14-$H14)+($K14-$J14))</f>
        <v>#VALUE!</v>
      </c>
      <c r="M14" s="138" t="e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#VALUE!</v>
      </c>
      <c r="N14" s="138" t="e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#VALUE!</v>
      </c>
      <c r="O14" s="168" t="e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#VALUE!</v>
      </c>
      <c r="P14" s="79" t="e" cm="1">
        <f t="array" aca="1" ref="P14" ca="1">IF($L14=0,
      0,
      Round2minute((-1)*SUMIF($M14:$O14,"&lt;0")-Q14-S14-R14))</f>
        <v>#VALUE!</v>
      </c>
      <c r="Q14" s="227"/>
      <c r="R14" s="229"/>
      <c r="S14" s="228"/>
      <c r="T14" s="79" t="e" cm="1">
        <f t="array" aca="1" ref="T14" ca="1">IF(OR($B14=FIM_DE_SEMANA,$B14=FERIADO,$B14=DISPENSADO,$B14=MEIO_COMPENSADO),
       Round2minute($L14-U14-V14-W14-X14),
       Round2minute(SUMIF($M14:$O14,"&gt;0")-U14-V14-W14-X14))</f>
        <v>#VALUE!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e">
        <f t="shared" ca="1" si="0"/>
        <v>#VALUE!</v>
      </c>
      <c r="B15" s="34" t="e">
        <f ca="1">IF($C15="",
  "",
  IFERROR(VLOOKUP($C15,Calendario[],2,FALSE),
    IF(WEEKDAY($C15,2)&gt;5,
      FIM_DE_SEMANA,
      DIA_UTIL)))</f>
        <v>#VALUE!</v>
      </c>
      <c r="C15" s="35" t="e">
        <f t="shared" ca="1" si="1"/>
        <v>#VALUE!</v>
      </c>
      <c r="D15" s="216"/>
      <c r="E15" s="217"/>
      <c r="F15" s="217"/>
      <c r="G15" s="218"/>
      <c r="H15" s="157" t="e" cm="1">
        <f t="array" aca="1" ref="H15" ca="1">EntradaTratada($A15,$B15,$D15,$I15,TIPO_DE_PONTO,Calendario[DIA]:Calendario[TIPO])</f>
        <v>#VALUE!</v>
      </c>
      <c r="I15" s="137" t="e" cm="1">
        <f t="array" aca="1" ref="I15" ca="1">SaidaAlmocoTratada($A15,$B15,$D15:$G15,TIPO_DE_PONTO,Calendario[DIA]:Calendario[TIPO])</f>
        <v>#VALUE!</v>
      </c>
      <c r="J15" s="137" t="e" cm="1">
        <f t="array" aca="1" ref="J15" ca="1">RetornoAlmocoTratado($A15,$B15,$D15:$G15,TIPO_DE_PONTO,Calendario[DIA]:Calendario[TIPO])</f>
        <v>#VALUE!</v>
      </c>
      <c r="K15" s="166" t="e" cm="1">
        <f t="array" aca="1" ref="K15" ca="1">SaidaTratada($A15,$B15,$D15:$G15,$J15,TIPO_DE_PONTO,Calendario[DIA]:Calendario[TIPO])</f>
        <v>#VALUE!</v>
      </c>
      <c r="L15" s="159" t="e" cm="1">
        <f t="array" aca="1" ref="L15" ca="1">Round2minute(($I15-$H15)+($K15-$J15))</f>
        <v>#VALUE!</v>
      </c>
      <c r="M15" s="138" t="e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#VALUE!</v>
      </c>
      <c r="N15" s="138" t="e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#VALUE!</v>
      </c>
      <c r="O15" s="168" t="e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#VALUE!</v>
      </c>
      <c r="P15" s="79" t="e" cm="1">
        <f t="array" aca="1" ref="P15" ca="1">IF($L15=0,
      0,
      Round2minute((-1)*SUMIF($M15:$O15,"&lt;0")-Q15-S15-R15))</f>
        <v>#VALUE!</v>
      </c>
      <c r="Q15" s="227"/>
      <c r="R15" s="229"/>
      <c r="S15" s="228"/>
      <c r="T15" s="79" t="e" cm="1">
        <f t="array" aca="1" ref="T15" ca="1">IF(OR($B15=FIM_DE_SEMANA,$B15=FERIADO,$B15=DISPENSADO,$B15=MEIO_COMPENSADO),
       Round2minute($L15-U15-V15-W15-X15),
       Round2minute(SUMIF($M15:$O15,"&gt;0")-U15-V15-W15-X15))</f>
        <v>#VALUE!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e">
        <f t="shared" ca="1" si="0"/>
        <v>#VALUE!</v>
      </c>
      <c r="B16" s="34" t="e">
        <f ca="1">IF($C16="",
  "",
  IFERROR(VLOOKUP($C16,Calendario[],2,FALSE),
    IF(WEEKDAY($C16,2)&gt;5,
      FIM_DE_SEMANA,
      DIA_UTIL)))</f>
        <v>#VALUE!</v>
      </c>
      <c r="C16" s="35" t="e">
        <f t="shared" ca="1" si="1"/>
        <v>#VALUE!</v>
      </c>
      <c r="D16" s="216"/>
      <c r="E16" s="217"/>
      <c r="F16" s="217"/>
      <c r="G16" s="218"/>
      <c r="H16" s="157" t="e" cm="1">
        <f t="array" aca="1" ref="H16" ca="1">EntradaTratada($A16,$B16,$D16,$I16,TIPO_DE_PONTO,Calendario[DIA]:Calendario[TIPO])</f>
        <v>#VALUE!</v>
      </c>
      <c r="I16" s="137" t="e" cm="1">
        <f t="array" aca="1" ref="I16" ca="1">SaidaAlmocoTratada($A16,$B16,$D16:$G16,TIPO_DE_PONTO,Calendario[DIA]:Calendario[TIPO])</f>
        <v>#VALUE!</v>
      </c>
      <c r="J16" s="137" t="e" cm="1">
        <f t="array" aca="1" ref="J16" ca="1">RetornoAlmocoTratado($A16,$B16,$D16:$G16,TIPO_DE_PONTO,Calendario[DIA]:Calendario[TIPO])</f>
        <v>#VALUE!</v>
      </c>
      <c r="K16" s="166" t="e" cm="1">
        <f t="array" aca="1" ref="K16" ca="1">SaidaTratada($A16,$B16,$D16:$G16,$J16,TIPO_DE_PONTO,Calendario[DIA]:Calendario[TIPO])</f>
        <v>#VALUE!</v>
      </c>
      <c r="L16" s="159" t="e" cm="1">
        <f t="array" aca="1" ref="L16" ca="1">Round2minute(($I16-$H16)+($K16-$J16))</f>
        <v>#VALUE!</v>
      </c>
      <c r="M16" s="138" t="e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#VALUE!</v>
      </c>
      <c r="N16" s="138" t="e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#VALUE!</v>
      </c>
      <c r="O16" s="168" t="e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#VALUE!</v>
      </c>
      <c r="P16" s="79" t="e" cm="1">
        <f t="array" aca="1" ref="P16" ca="1">IF($L16=0,
      0,
      Round2minute((-1)*SUMIF($M16:$O16,"&lt;0")-Q16-S16-R16))</f>
        <v>#VALUE!</v>
      </c>
      <c r="Q16" s="227"/>
      <c r="R16" s="229"/>
      <c r="S16" s="228"/>
      <c r="T16" s="79" t="e" cm="1">
        <f t="array" aca="1" ref="T16" ca="1">IF(OR($B16=FIM_DE_SEMANA,$B16=FERIADO,$B16=DISPENSADO,$B16=MEIO_COMPENSADO),
       Round2minute($L16-U16-V16-W16-X16),
       Round2minute(SUMIF($M16:$O16,"&gt;0")-U16-V16-W16-X16))</f>
        <v>#VALUE!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e">
        <f t="shared" ca="1" si="0"/>
        <v>#VALUE!</v>
      </c>
      <c r="B17" s="34" t="e">
        <f ca="1">IF($C17="",
  "",
  IFERROR(VLOOKUP($C17,Calendario[],2,FALSE),
    IF(WEEKDAY($C17,2)&gt;5,
      FIM_DE_SEMANA,
      DIA_UTIL)))</f>
        <v>#VALUE!</v>
      </c>
      <c r="C17" s="35" t="e">
        <f t="shared" ca="1" si="1"/>
        <v>#VALUE!</v>
      </c>
      <c r="D17" s="216"/>
      <c r="E17" s="217"/>
      <c r="F17" s="217"/>
      <c r="G17" s="218"/>
      <c r="H17" s="157" t="e" cm="1">
        <f t="array" aca="1" ref="H17" ca="1">EntradaTratada($A17,$B17,$D17,$I17,TIPO_DE_PONTO,Calendario[DIA]:Calendario[TIPO])</f>
        <v>#VALUE!</v>
      </c>
      <c r="I17" s="137" t="e" cm="1">
        <f t="array" aca="1" ref="I17" ca="1">SaidaAlmocoTratada($A17,$B17,$D17:$G17,TIPO_DE_PONTO,Calendario[DIA]:Calendario[TIPO])</f>
        <v>#VALUE!</v>
      </c>
      <c r="J17" s="137" t="e" cm="1">
        <f t="array" aca="1" ref="J17" ca="1">RetornoAlmocoTratado($A17,$B17,$D17:$G17,TIPO_DE_PONTO,Calendario[DIA]:Calendario[TIPO])</f>
        <v>#VALUE!</v>
      </c>
      <c r="K17" s="166" t="e" cm="1">
        <f t="array" aca="1" ref="K17" ca="1">SaidaTratada($A17,$B17,$D17:$G17,$J17,TIPO_DE_PONTO,Calendario[DIA]:Calendario[TIPO])</f>
        <v>#VALUE!</v>
      </c>
      <c r="L17" s="159" t="e" cm="1">
        <f t="array" aca="1" ref="L17" ca="1">Round2minute(($I17-$H17)+($K17-$J17))</f>
        <v>#VALUE!</v>
      </c>
      <c r="M17" s="138" t="e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#VALUE!</v>
      </c>
      <c r="N17" s="138" t="e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#VALUE!</v>
      </c>
      <c r="O17" s="168" t="e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#VALUE!</v>
      </c>
      <c r="P17" s="79" t="e" cm="1">
        <f t="array" aca="1" ref="P17" ca="1">IF($L17=0,
      0,
      Round2minute((-1)*SUMIF($M17:$O17,"&lt;0")-Q17-S17-R17))</f>
        <v>#VALUE!</v>
      </c>
      <c r="Q17" s="227"/>
      <c r="R17" s="229"/>
      <c r="S17" s="228"/>
      <c r="T17" s="79" t="e" cm="1">
        <f t="array" aca="1" ref="T17" ca="1">IF(OR($B17=FIM_DE_SEMANA,$B17=FERIADO,$B17=DISPENSADO,$B17=MEIO_COMPENSADO),
       Round2minute($L17-U17-V17-W17-X17),
       Round2minute(SUMIF($M17:$O17,"&gt;0")-U17-V17-W17-X17))</f>
        <v>#VALUE!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e">
        <f t="shared" ca="1" si="0"/>
        <v>#VALUE!</v>
      </c>
      <c r="B18" s="34" t="e">
        <f ca="1">IF($C18="",
  "",
  IFERROR(VLOOKUP($C18,Calendario[],2,FALSE),
    IF(WEEKDAY($C18,2)&gt;5,
      FIM_DE_SEMANA,
      DIA_UTIL)))</f>
        <v>#VALUE!</v>
      </c>
      <c r="C18" s="35" t="e">
        <f t="shared" ca="1" si="1"/>
        <v>#VALUE!</v>
      </c>
      <c r="D18" s="216"/>
      <c r="E18" s="217"/>
      <c r="F18" s="217"/>
      <c r="G18" s="218"/>
      <c r="H18" s="157" t="e" cm="1">
        <f t="array" aca="1" ref="H18" ca="1">EntradaTratada($A18,$B18,$D18,$I18,TIPO_DE_PONTO,Calendario[DIA]:Calendario[TIPO])</f>
        <v>#VALUE!</v>
      </c>
      <c r="I18" s="137" t="e" cm="1">
        <f t="array" aca="1" ref="I18" ca="1">SaidaAlmocoTratada($A18,$B18,$D18:$G18,TIPO_DE_PONTO,Calendario[DIA]:Calendario[TIPO])</f>
        <v>#VALUE!</v>
      </c>
      <c r="J18" s="137" t="e" cm="1">
        <f t="array" aca="1" ref="J18" ca="1">RetornoAlmocoTratado($A18,$B18,$D18:$G18,TIPO_DE_PONTO,Calendario[DIA]:Calendario[TIPO])</f>
        <v>#VALUE!</v>
      </c>
      <c r="K18" s="166" t="e" cm="1">
        <f t="array" aca="1" ref="K18" ca="1">SaidaTratada($A18,$B18,$D18:$G18,$J18,TIPO_DE_PONTO,Calendario[DIA]:Calendario[TIPO])</f>
        <v>#VALUE!</v>
      </c>
      <c r="L18" s="159" t="e" cm="1">
        <f t="array" aca="1" ref="L18" ca="1">Round2minute(($I18-$H18)+($K18-$J18))</f>
        <v>#VALUE!</v>
      </c>
      <c r="M18" s="138" t="e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#VALUE!</v>
      </c>
      <c r="N18" s="138" t="e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#VALUE!</v>
      </c>
      <c r="O18" s="168" t="e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#VALUE!</v>
      </c>
      <c r="P18" s="79" t="e" cm="1">
        <f t="array" aca="1" ref="P18" ca="1">IF($L18=0,
      0,
      Round2minute((-1)*SUMIF($M18:$O18,"&lt;0")-Q18-S18-R18))</f>
        <v>#VALUE!</v>
      </c>
      <c r="Q18" s="227"/>
      <c r="R18" s="229"/>
      <c r="S18" s="228"/>
      <c r="T18" s="79" t="e" cm="1">
        <f t="array" aca="1" ref="T18" ca="1">IF(OR($B18=FIM_DE_SEMANA,$B18=FERIADO,$B18=DISPENSADO,$B18=MEIO_COMPENSADO),
       Round2minute($L18-U18-V18-W18-X18),
       Round2minute(SUMIF($M18:$O18,"&gt;0")-U18-V18-W18-X18))</f>
        <v>#VALUE!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e">
        <f t="shared" ca="1" si="0"/>
        <v>#VALUE!</v>
      </c>
      <c r="B19" s="34" t="e">
        <f ca="1">IF($C19="",
  "",
  IFERROR(VLOOKUP($C19,Calendario[],2,FALSE),
    IF(WEEKDAY($C19,2)&gt;5,
      FIM_DE_SEMANA,
      DIA_UTIL)))</f>
        <v>#VALUE!</v>
      </c>
      <c r="C19" s="35" t="e">
        <f t="shared" ca="1" si="1"/>
        <v>#VALUE!</v>
      </c>
      <c r="D19" s="216"/>
      <c r="E19" s="217"/>
      <c r="F19" s="217"/>
      <c r="G19" s="218"/>
      <c r="H19" s="157" t="e" cm="1">
        <f t="array" aca="1" ref="H19" ca="1">EntradaTratada($A19,$B19,$D19,$I19,TIPO_DE_PONTO,Calendario[DIA]:Calendario[TIPO])</f>
        <v>#VALUE!</v>
      </c>
      <c r="I19" s="137" t="e" cm="1">
        <f t="array" aca="1" ref="I19" ca="1">SaidaAlmocoTratada($A19,$B19,$D19:$G19,TIPO_DE_PONTO,Calendario[DIA]:Calendario[TIPO])</f>
        <v>#VALUE!</v>
      </c>
      <c r="J19" s="137" t="e" cm="1">
        <f t="array" aca="1" ref="J19" ca="1">RetornoAlmocoTratado($A19,$B19,$D19:$G19,TIPO_DE_PONTO,Calendario[DIA]:Calendario[TIPO])</f>
        <v>#VALUE!</v>
      </c>
      <c r="K19" s="166" t="e" cm="1">
        <f t="array" aca="1" ref="K19" ca="1">SaidaTratada($A19,$B19,$D19:$G19,$J19,TIPO_DE_PONTO,Calendario[DIA]:Calendario[TIPO])</f>
        <v>#VALUE!</v>
      </c>
      <c r="L19" s="159" t="e" cm="1">
        <f t="array" aca="1" ref="L19" ca="1">Round2minute(($I19-$H19)+($K19-$J19))</f>
        <v>#VALUE!</v>
      </c>
      <c r="M19" s="138" t="e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#VALUE!</v>
      </c>
      <c r="N19" s="138" t="e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#VALUE!</v>
      </c>
      <c r="O19" s="168" t="e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#VALUE!</v>
      </c>
      <c r="P19" s="79" t="e" cm="1">
        <f t="array" aca="1" ref="P19" ca="1">IF($L19=0,
      0,
      Round2minute((-1)*SUMIF($M19:$O19,"&lt;0")-Q19-S19-R19))</f>
        <v>#VALUE!</v>
      </c>
      <c r="Q19" s="227"/>
      <c r="R19" s="229"/>
      <c r="S19" s="228"/>
      <c r="T19" s="79" t="e" cm="1">
        <f t="array" aca="1" ref="T19" ca="1">IF(OR($B19=FIM_DE_SEMANA,$B19=FERIADO,$B19=DISPENSADO,$B19=MEIO_COMPENSADO),
       Round2minute($L19-U19-V19-W19-X19),
       Round2minute(SUMIF($M19:$O19,"&gt;0")-U19-V19-W19-X19))</f>
        <v>#VALUE!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e">
        <f t="shared" ca="1" si="0"/>
        <v>#VALUE!</v>
      </c>
      <c r="B20" s="34" t="e">
        <f ca="1">IF($C20="",
  "",
  IFERROR(VLOOKUP($C20,Calendario[],2,FALSE),
    IF(WEEKDAY($C20,2)&gt;5,
      FIM_DE_SEMANA,
      DIA_UTIL)))</f>
        <v>#VALUE!</v>
      </c>
      <c r="C20" s="35" t="e">
        <f t="shared" ca="1" si="1"/>
        <v>#VALUE!</v>
      </c>
      <c r="D20" s="216"/>
      <c r="E20" s="217"/>
      <c r="F20" s="217"/>
      <c r="G20" s="218"/>
      <c r="H20" s="157" t="e" cm="1">
        <f t="array" aca="1" ref="H20" ca="1">EntradaTratada($A20,$B20,$D20,$I20,TIPO_DE_PONTO,Calendario[DIA]:Calendario[TIPO])</f>
        <v>#VALUE!</v>
      </c>
      <c r="I20" s="137" t="e" cm="1">
        <f t="array" aca="1" ref="I20" ca="1">SaidaAlmocoTratada($A20,$B20,$D20:$G20,TIPO_DE_PONTO,Calendario[DIA]:Calendario[TIPO])</f>
        <v>#VALUE!</v>
      </c>
      <c r="J20" s="137" t="e" cm="1">
        <f t="array" aca="1" ref="J20" ca="1">RetornoAlmocoTratado($A20,$B20,$D20:$G20,TIPO_DE_PONTO,Calendario[DIA]:Calendario[TIPO])</f>
        <v>#VALUE!</v>
      </c>
      <c r="K20" s="166" t="e" cm="1">
        <f t="array" aca="1" ref="K20" ca="1">SaidaTratada($A20,$B20,$D20:$G20,$J20,TIPO_DE_PONTO,Calendario[DIA]:Calendario[TIPO])</f>
        <v>#VALUE!</v>
      </c>
      <c r="L20" s="159" t="e" cm="1">
        <f t="array" aca="1" ref="L20" ca="1">Round2minute(($I20-$H20)+($K20-$J20))</f>
        <v>#VALUE!</v>
      </c>
      <c r="M20" s="138" t="e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#VALUE!</v>
      </c>
      <c r="N20" s="138" t="e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#VALUE!</v>
      </c>
      <c r="O20" s="168" t="e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#VALUE!</v>
      </c>
      <c r="P20" s="79" t="e" cm="1">
        <f t="array" aca="1" ref="P20" ca="1">IF($L20=0,
      0,
      Round2minute((-1)*SUMIF($M20:$O20,"&lt;0")-Q20-S20-R20))</f>
        <v>#VALUE!</v>
      </c>
      <c r="Q20" s="227"/>
      <c r="R20" s="229"/>
      <c r="S20" s="228"/>
      <c r="T20" s="79" t="e" cm="1">
        <f t="array" aca="1" ref="T20" ca="1">IF(OR($B20=FIM_DE_SEMANA,$B20=FERIADO,$B20=DISPENSADO,$B20=MEIO_COMPENSADO),
       Round2minute($L20-U20-V20-W20-X20),
       Round2minute(SUMIF($M20:$O20,"&gt;0")-U20-V20-W20-X20))</f>
        <v>#VALUE!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e">
        <f t="shared" ca="1" si="0"/>
        <v>#VALUE!</v>
      </c>
      <c r="B21" s="34" t="e">
        <f ca="1">IF($C21="",
  "",
  IFERROR(VLOOKUP($C21,Calendario[],2,FALSE),
    IF(WEEKDAY($C21,2)&gt;5,
      FIM_DE_SEMANA,
      DIA_UTIL)))</f>
        <v>#VALUE!</v>
      </c>
      <c r="C21" s="35" t="e">
        <f t="shared" ca="1" si="1"/>
        <v>#VALUE!</v>
      </c>
      <c r="D21" s="216"/>
      <c r="E21" s="217"/>
      <c r="F21" s="217"/>
      <c r="G21" s="218"/>
      <c r="H21" s="157" t="e" cm="1">
        <f t="array" aca="1" ref="H21" ca="1">EntradaTratada($A21,$B21,$D21,$I21,TIPO_DE_PONTO,Calendario[DIA]:Calendario[TIPO])</f>
        <v>#VALUE!</v>
      </c>
      <c r="I21" s="137" t="e" cm="1">
        <f t="array" aca="1" ref="I21" ca="1">SaidaAlmocoTratada($A21,$B21,$D21:$G21,TIPO_DE_PONTO,Calendario[DIA]:Calendario[TIPO])</f>
        <v>#VALUE!</v>
      </c>
      <c r="J21" s="137" t="e" cm="1">
        <f t="array" aca="1" ref="J21" ca="1">RetornoAlmocoTratado($A21,$B21,$D21:$G21,TIPO_DE_PONTO,Calendario[DIA]:Calendario[TIPO])</f>
        <v>#VALUE!</v>
      </c>
      <c r="K21" s="166" t="e" cm="1">
        <f t="array" aca="1" ref="K21" ca="1">SaidaTratada($A21,$B21,$D21:$G21,$J21,TIPO_DE_PONTO,Calendario[DIA]:Calendario[TIPO])</f>
        <v>#VALUE!</v>
      </c>
      <c r="L21" s="159" t="e" cm="1">
        <f t="array" aca="1" ref="L21" ca="1">Round2minute(($I21-$H21)+($K21-$J21))</f>
        <v>#VALUE!</v>
      </c>
      <c r="M21" s="138" t="e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#VALUE!</v>
      </c>
      <c r="N21" s="138" t="e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#VALUE!</v>
      </c>
      <c r="O21" s="168" t="e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#VALUE!</v>
      </c>
      <c r="P21" s="79" t="e" cm="1">
        <f t="array" aca="1" ref="P21" ca="1">IF($L21=0,
      0,
      Round2minute((-1)*SUMIF($M21:$O21,"&lt;0")-Q21-S21-R21))</f>
        <v>#VALUE!</v>
      </c>
      <c r="Q21" s="227"/>
      <c r="R21" s="229"/>
      <c r="S21" s="228"/>
      <c r="T21" s="79" t="e" cm="1">
        <f t="array" aca="1" ref="T21" ca="1">IF(OR($B21=FIM_DE_SEMANA,$B21=FERIADO,$B21=DISPENSADO,$B21=MEIO_COMPENSADO),
       Round2minute($L21-U21-V21-W21-X21),
       Round2minute(SUMIF($M21:$O21,"&gt;0")-U21-V21-W21-X21))</f>
        <v>#VALUE!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e">
        <f t="shared" ca="1" si="0"/>
        <v>#VALUE!</v>
      </c>
      <c r="B22" s="34" t="e">
        <f ca="1">IF($C22="",
  "",
  IFERROR(VLOOKUP($C22,Calendario[],2,FALSE),
    IF(WEEKDAY($C22,2)&gt;5,
      FIM_DE_SEMANA,
      DIA_UTIL)))</f>
        <v>#VALUE!</v>
      </c>
      <c r="C22" s="35" t="e">
        <f t="shared" ca="1" si="1"/>
        <v>#VALUE!</v>
      </c>
      <c r="D22" s="216"/>
      <c r="E22" s="217"/>
      <c r="F22" s="217"/>
      <c r="G22" s="218"/>
      <c r="H22" s="157" t="e" cm="1">
        <f t="array" aca="1" ref="H22" ca="1">EntradaTratada($A22,$B22,$D22,$I22,TIPO_DE_PONTO,Calendario[DIA]:Calendario[TIPO])</f>
        <v>#VALUE!</v>
      </c>
      <c r="I22" s="137" t="e" cm="1">
        <f t="array" aca="1" ref="I22" ca="1">SaidaAlmocoTratada($A22,$B22,$D22:$G22,TIPO_DE_PONTO,Calendario[DIA]:Calendario[TIPO])</f>
        <v>#VALUE!</v>
      </c>
      <c r="J22" s="137" t="e" cm="1">
        <f t="array" aca="1" ref="J22" ca="1">RetornoAlmocoTratado($A22,$B22,$D22:$G22,TIPO_DE_PONTO,Calendario[DIA]:Calendario[TIPO])</f>
        <v>#VALUE!</v>
      </c>
      <c r="K22" s="166" t="e" cm="1">
        <f t="array" aca="1" ref="K22" ca="1">SaidaTratada($A22,$B22,$D22:$G22,$J22,TIPO_DE_PONTO,Calendario[DIA]:Calendario[TIPO])</f>
        <v>#VALUE!</v>
      </c>
      <c r="L22" s="159" t="e" cm="1">
        <f t="array" aca="1" ref="L22" ca="1">Round2minute(($I22-$H22)+($K22-$J22))</f>
        <v>#VALUE!</v>
      </c>
      <c r="M22" s="138" t="e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#VALUE!</v>
      </c>
      <c r="N22" s="138" t="e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#VALUE!</v>
      </c>
      <c r="O22" s="168" t="e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#VALUE!</v>
      </c>
      <c r="P22" s="79" t="e" cm="1">
        <f t="array" aca="1" ref="P22" ca="1">IF($L22=0,
      0,
      Round2minute((-1)*SUMIF($M22:$O22,"&lt;0")-Q22-S22-R22))</f>
        <v>#VALUE!</v>
      </c>
      <c r="Q22" s="227"/>
      <c r="R22" s="229"/>
      <c r="S22" s="228"/>
      <c r="T22" s="79" t="e" cm="1">
        <f t="array" aca="1" ref="T22" ca="1">IF(OR($B22=FIM_DE_SEMANA,$B22=FERIADO,$B22=DISPENSADO,$B22=MEIO_COMPENSADO),
       Round2minute($L22-U22-V22-W22-X22),
       Round2minute(SUMIF($M22:$O22,"&gt;0")-U22-V22-W22-X22))</f>
        <v>#VALUE!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e">
        <f t="shared" ca="1" si="0"/>
        <v>#VALUE!</v>
      </c>
      <c r="B23" s="34" t="e">
        <f ca="1">IF($C23="",
  "",
  IFERROR(VLOOKUP($C23,Calendario[],2,FALSE),
    IF(WEEKDAY($C23,2)&gt;5,
      FIM_DE_SEMANA,
      DIA_UTIL)))</f>
        <v>#VALUE!</v>
      </c>
      <c r="C23" s="35" t="e">
        <f t="shared" ca="1" si="1"/>
        <v>#VALUE!</v>
      </c>
      <c r="D23" s="216"/>
      <c r="E23" s="217"/>
      <c r="F23" s="219"/>
      <c r="G23" s="218"/>
      <c r="H23" s="157" t="e" cm="1">
        <f t="array" aca="1" ref="H23" ca="1">EntradaTratada($A23,$B23,$D23,$I23,TIPO_DE_PONTO,Calendario[DIA]:Calendario[TIPO])</f>
        <v>#VALUE!</v>
      </c>
      <c r="I23" s="137" t="e" cm="1">
        <f t="array" aca="1" ref="I23" ca="1">SaidaAlmocoTratada($A23,$B23,$D23:$G23,TIPO_DE_PONTO,Calendario[DIA]:Calendario[TIPO])</f>
        <v>#VALUE!</v>
      </c>
      <c r="J23" s="137" t="e" cm="1">
        <f t="array" aca="1" ref="J23" ca="1">RetornoAlmocoTratado($A23,$B23,$D23:$G23,TIPO_DE_PONTO,Calendario[DIA]:Calendario[TIPO])</f>
        <v>#VALUE!</v>
      </c>
      <c r="K23" s="166" t="e" cm="1">
        <f t="array" aca="1" ref="K23" ca="1">SaidaTratada($A23,$B23,$D23:$G23,$J23,TIPO_DE_PONTO,Calendario[DIA]:Calendario[TIPO])</f>
        <v>#VALUE!</v>
      </c>
      <c r="L23" s="159" t="e" cm="1">
        <f t="array" aca="1" ref="L23" ca="1">Round2minute(($I23-$H23)+($K23-$J23))</f>
        <v>#VALUE!</v>
      </c>
      <c r="M23" s="138" t="e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#VALUE!</v>
      </c>
      <c r="N23" s="138" t="e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#VALUE!</v>
      </c>
      <c r="O23" s="168" t="e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#VALUE!</v>
      </c>
      <c r="P23" s="79" t="e" cm="1">
        <f t="array" aca="1" ref="P23" ca="1">IF($L23=0,
      0,
      Round2minute((-1)*SUMIF($M23:$O23,"&lt;0")-Q23-S23-R23))</f>
        <v>#VALUE!</v>
      </c>
      <c r="Q23" s="227"/>
      <c r="R23" s="229"/>
      <c r="S23" s="228"/>
      <c r="T23" s="79" t="e" cm="1">
        <f t="array" aca="1" ref="T23" ca="1">IF(OR($B23=FIM_DE_SEMANA,$B23=FERIADO,$B23=DISPENSADO,$B23=MEIO_COMPENSADO),
       Round2minute($L23-U23-V23-W23-X23),
       Round2minute(SUMIF($M23:$O23,"&gt;0")-U23-V23-W23-X23))</f>
        <v>#VALUE!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e">
        <f t="shared" ca="1" si="0"/>
        <v>#VALUE!</v>
      </c>
      <c r="B24" s="34" t="e">
        <f ca="1">IF($C24="",
  "",
  IFERROR(VLOOKUP($C24,Calendario[],2,FALSE),
    IF(WEEKDAY($C24,2)&gt;5,
      FIM_DE_SEMANA,
      DIA_UTIL)))</f>
        <v>#VALUE!</v>
      </c>
      <c r="C24" s="35" t="e">
        <f t="shared" ca="1" si="1"/>
        <v>#VALUE!</v>
      </c>
      <c r="D24" s="216"/>
      <c r="E24" s="220"/>
      <c r="F24" s="217"/>
      <c r="G24" s="218"/>
      <c r="H24" s="157" t="e" cm="1">
        <f t="array" aca="1" ref="H24" ca="1">EntradaTratada($A24,$B24,$D24,$I24,TIPO_DE_PONTO,Calendario[DIA]:Calendario[TIPO])</f>
        <v>#VALUE!</v>
      </c>
      <c r="I24" s="137" t="e" cm="1">
        <f t="array" aca="1" ref="I24" ca="1">SaidaAlmocoTratada($A24,$B24,$D24:$G24,TIPO_DE_PONTO,Calendario[DIA]:Calendario[TIPO])</f>
        <v>#VALUE!</v>
      </c>
      <c r="J24" s="137" t="e" cm="1">
        <f t="array" aca="1" ref="J24" ca="1">RetornoAlmocoTratado($A24,$B24,$D24:$G24,TIPO_DE_PONTO,Calendario[DIA]:Calendario[TIPO])</f>
        <v>#VALUE!</v>
      </c>
      <c r="K24" s="166" t="e" cm="1">
        <f t="array" aca="1" ref="K24" ca="1">SaidaTratada($A24,$B24,$D24:$G24,$J24,TIPO_DE_PONTO,Calendario[DIA]:Calendario[TIPO])</f>
        <v>#VALUE!</v>
      </c>
      <c r="L24" s="159" t="e" cm="1">
        <f t="array" aca="1" ref="L24" ca="1">Round2minute(($I24-$H24)+($K24-$J24))</f>
        <v>#VALUE!</v>
      </c>
      <c r="M24" s="138" t="e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#VALUE!</v>
      </c>
      <c r="N24" s="138" t="e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#VALUE!</v>
      </c>
      <c r="O24" s="168" t="e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#VALUE!</v>
      </c>
      <c r="P24" s="79" t="e" cm="1">
        <f t="array" aca="1" ref="P24" ca="1">IF($L24=0,
      0,
      Round2minute((-1)*SUMIF($M24:$O24,"&lt;0")-Q24-S24-R24))</f>
        <v>#VALUE!</v>
      </c>
      <c r="Q24" s="227"/>
      <c r="R24" s="229"/>
      <c r="S24" s="228"/>
      <c r="T24" s="79" t="e" cm="1">
        <f t="array" aca="1" ref="T24" ca="1">IF(OR($B24=FIM_DE_SEMANA,$B24=FERIADO,$B24=DISPENSADO,$B24=MEIO_COMPENSADO),
       Round2minute($L24-U24-V24-W24-X24),
       Round2minute(SUMIF($M24:$O24,"&gt;0")-U24-V24-W24-X24))</f>
        <v>#VALUE!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e">
        <f t="shared" ca="1" si="0"/>
        <v>#VALUE!</v>
      </c>
      <c r="B25" s="34" t="e">
        <f ca="1">IF($C25="",
  "",
  IFERROR(VLOOKUP($C25,Calendario[],2,FALSE),
    IF(WEEKDAY($C25,2)&gt;5,
      FIM_DE_SEMANA,
      DIA_UTIL)))</f>
        <v>#VALUE!</v>
      </c>
      <c r="C25" s="35" t="e">
        <f t="shared" ca="1" si="1"/>
        <v>#VALUE!</v>
      </c>
      <c r="D25" s="216"/>
      <c r="E25" s="220"/>
      <c r="F25" s="217"/>
      <c r="G25" s="218"/>
      <c r="H25" s="157" t="e" cm="1">
        <f t="array" aca="1" ref="H25" ca="1">EntradaTratada($A25,$B25,$D25,$I25,TIPO_DE_PONTO,Calendario[DIA]:Calendario[TIPO])</f>
        <v>#VALUE!</v>
      </c>
      <c r="I25" s="137" t="e" cm="1">
        <f t="array" aca="1" ref="I25" ca="1">SaidaAlmocoTratada($A25,$B25,$D25:$G25,TIPO_DE_PONTO,Calendario[DIA]:Calendario[TIPO])</f>
        <v>#VALUE!</v>
      </c>
      <c r="J25" s="137" t="e" cm="1">
        <f t="array" aca="1" ref="J25" ca="1">RetornoAlmocoTratado($A25,$B25,$D25:$G25,TIPO_DE_PONTO,Calendario[DIA]:Calendario[TIPO])</f>
        <v>#VALUE!</v>
      </c>
      <c r="K25" s="166" t="e" cm="1">
        <f t="array" aca="1" ref="K25" ca="1">SaidaTratada($A25,$B25,$D25:$G25,$J25,TIPO_DE_PONTO,Calendario[DIA]:Calendario[TIPO])</f>
        <v>#VALUE!</v>
      </c>
      <c r="L25" s="159" t="e" cm="1">
        <f t="array" aca="1" ref="L25" ca="1">Round2minute(($I25-$H25)+($K25-$J25))</f>
        <v>#VALUE!</v>
      </c>
      <c r="M25" s="138" t="e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#VALUE!</v>
      </c>
      <c r="N25" s="138" t="e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#VALUE!</v>
      </c>
      <c r="O25" s="168" t="e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#VALUE!</v>
      </c>
      <c r="P25" s="79" t="e" cm="1">
        <f t="array" aca="1" ref="P25" ca="1">IF($L25=0,
      0,
      Round2minute((-1)*SUMIF($M25:$O25,"&lt;0")-Q25-S25-R25))</f>
        <v>#VALUE!</v>
      </c>
      <c r="Q25" s="227"/>
      <c r="R25" s="229"/>
      <c r="S25" s="228"/>
      <c r="T25" s="79" t="e" cm="1">
        <f t="array" aca="1" ref="T25" ca="1">IF(OR($B25=FIM_DE_SEMANA,$B25=FERIADO,$B25=DISPENSADO,$B25=MEIO_COMPENSADO),
       Round2minute($L25-U25-V25-W25-X25),
       Round2minute(SUMIF($M25:$O25,"&gt;0")-U25-V25-W25-X25))</f>
        <v>#VALUE!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e">
        <f t="shared" ca="1" si="0"/>
        <v>#VALUE!</v>
      </c>
      <c r="B26" s="34" t="e">
        <f ca="1">IF($C26="",
  "",
  IFERROR(VLOOKUP($C26,Calendario[],2,FALSE),
    IF(WEEKDAY($C26,2)&gt;5,
      FIM_DE_SEMANA,
      DIA_UTIL)))</f>
        <v>#VALUE!</v>
      </c>
      <c r="C26" s="35" t="e">
        <f t="shared" ca="1" si="1"/>
        <v>#VALUE!</v>
      </c>
      <c r="D26" s="216"/>
      <c r="E26" s="217"/>
      <c r="F26" s="217"/>
      <c r="G26" s="218"/>
      <c r="H26" s="157" t="e" cm="1">
        <f t="array" aca="1" ref="H26" ca="1">EntradaTratada($A26,$B26,$D26,$I26,TIPO_DE_PONTO,Calendario[DIA]:Calendario[TIPO])</f>
        <v>#VALUE!</v>
      </c>
      <c r="I26" s="137" t="e" cm="1">
        <f t="array" aca="1" ref="I26" ca="1">SaidaAlmocoTratada($A26,$B26,$D26:$G26,TIPO_DE_PONTO,Calendario[DIA]:Calendario[TIPO])</f>
        <v>#VALUE!</v>
      </c>
      <c r="J26" s="137" t="e" cm="1">
        <f t="array" aca="1" ref="J26" ca="1">RetornoAlmocoTratado($A26,$B26,$D26:$G26,TIPO_DE_PONTO,Calendario[DIA]:Calendario[TIPO])</f>
        <v>#VALUE!</v>
      </c>
      <c r="K26" s="166" t="e" cm="1">
        <f t="array" aca="1" ref="K26" ca="1">SaidaTratada($A26,$B26,$D26:$G26,$J26,TIPO_DE_PONTO,Calendario[DIA]:Calendario[TIPO])</f>
        <v>#VALUE!</v>
      </c>
      <c r="L26" s="159" t="e" cm="1">
        <f t="array" aca="1" ref="L26" ca="1">Round2minute(($I26-$H26)+($K26-$J26))</f>
        <v>#VALUE!</v>
      </c>
      <c r="M26" s="138" t="e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#VALUE!</v>
      </c>
      <c r="N26" s="138" t="e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#VALUE!</v>
      </c>
      <c r="O26" s="168" t="e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#VALUE!</v>
      </c>
      <c r="P26" s="79" t="e" cm="1">
        <f t="array" aca="1" ref="P26" ca="1">IF($L26=0,
      0,
      Round2minute((-1)*SUMIF($M26:$O26,"&lt;0")-Q26-S26-R26))</f>
        <v>#VALUE!</v>
      </c>
      <c r="Q26" s="227"/>
      <c r="R26" s="229"/>
      <c r="S26" s="228"/>
      <c r="T26" s="79" t="e" cm="1">
        <f t="array" aca="1" ref="T26" ca="1">IF(OR($B26=FIM_DE_SEMANA,$B26=FERIADO,$B26=DISPENSADO,$B26=MEIO_COMPENSADO),
       Round2minute($L26-U26-V26-W26-X26),
       Round2minute(SUMIF($M26:$O26,"&gt;0")-U26-V26-W26-X26))</f>
        <v>#VALUE!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e">
        <f t="shared" ca="1" si="0"/>
        <v>#VALUE!</v>
      </c>
      <c r="B27" s="34" t="e">
        <f ca="1">IF($C27="",
  "",
  IFERROR(VLOOKUP($C27,Calendario[],2,FALSE),
    IF(WEEKDAY($C27,2)&gt;5,
      FIM_DE_SEMANA,
      DIA_UTIL)))</f>
        <v>#VALUE!</v>
      </c>
      <c r="C27" s="35" t="e">
        <f t="shared" ca="1" si="1"/>
        <v>#VALUE!</v>
      </c>
      <c r="D27" s="216"/>
      <c r="E27" s="217"/>
      <c r="F27" s="217"/>
      <c r="G27" s="218"/>
      <c r="H27" s="157" t="e" cm="1">
        <f t="array" aca="1" ref="H27" ca="1">EntradaTratada($A27,$B27,$D27,$I27,TIPO_DE_PONTO,Calendario[DIA]:Calendario[TIPO])</f>
        <v>#VALUE!</v>
      </c>
      <c r="I27" s="137" t="e" cm="1">
        <f t="array" aca="1" ref="I27" ca="1">SaidaAlmocoTratada($A27,$B27,$D27:$G27,TIPO_DE_PONTO,Calendario[DIA]:Calendario[TIPO])</f>
        <v>#VALUE!</v>
      </c>
      <c r="J27" s="137" t="e" cm="1">
        <f t="array" aca="1" ref="J27" ca="1">RetornoAlmocoTratado($A27,$B27,$D27:$G27,TIPO_DE_PONTO,Calendario[DIA]:Calendario[TIPO])</f>
        <v>#VALUE!</v>
      </c>
      <c r="K27" s="166" t="e" cm="1">
        <f t="array" aca="1" ref="K27" ca="1">SaidaTratada($A27,$B27,$D27:$G27,$J27,TIPO_DE_PONTO,Calendario[DIA]:Calendario[TIPO])</f>
        <v>#VALUE!</v>
      </c>
      <c r="L27" s="159" t="e" cm="1">
        <f t="array" aca="1" ref="L27" ca="1">Round2minute(($I27-$H27)+($K27-$J27))</f>
        <v>#VALUE!</v>
      </c>
      <c r="M27" s="138" t="e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#VALUE!</v>
      </c>
      <c r="N27" s="138" t="e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#VALUE!</v>
      </c>
      <c r="O27" s="168" t="e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#VALUE!</v>
      </c>
      <c r="P27" s="79" t="e" cm="1">
        <f t="array" aca="1" ref="P27" ca="1">IF($L27=0,
      0,
      Round2minute((-1)*SUMIF($M27:$O27,"&lt;0")-Q27-S27-R27))</f>
        <v>#VALUE!</v>
      </c>
      <c r="Q27" s="227"/>
      <c r="R27" s="229"/>
      <c r="S27" s="228"/>
      <c r="T27" s="79" t="e" cm="1">
        <f t="array" aca="1" ref="T27" ca="1">IF(OR($B27=FIM_DE_SEMANA,$B27=FERIADO,$B27=DISPENSADO,$B27=MEIO_COMPENSADO),
       Round2minute($L27-U27-V27-W27-X27),
       Round2minute(SUMIF($M27:$O27,"&gt;0")-U27-V27-W27-X27))</f>
        <v>#VALUE!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e">
        <f t="shared" ca="1" si="0"/>
        <v>#VALUE!</v>
      </c>
      <c r="B28" s="34" t="e">
        <f ca="1">IF($C28="",
  "",
  IFERROR(VLOOKUP($C28,Calendario[],2,FALSE),
    IF(WEEKDAY($C28,2)&gt;5,
      FIM_DE_SEMANA,
      DIA_UTIL)))</f>
        <v>#VALUE!</v>
      </c>
      <c r="C28" s="35" t="e">
        <f t="shared" ca="1" si="1"/>
        <v>#VALUE!</v>
      </c>
      <c r="D28" s="216"/>
      <c r="E28" s="217"/>
      <c r="F28" s="217"/>
      <c r="G28" s="218"/>
      <c r="H28" s="157" t="e" cm="1">
        <f t="array" aca="1" ref="H28" ca="1">EntradaTratada($A28,$B28,$D28,$I28,TIPO_DE_PONTO,Calendario[DIA]:Calendario[TIPO])</f>
        <v>#VALUE!</v>
      </c>
      <c r="I28" s="137" t="e" cm="1">
        <f t="array" aca="1" ref="I28" ca="1">SaidaAlmocoTratada($A28,$B28,$D28:$G28,TIPO_DE_PONTO,Calendario[DIA]:Calendario[TIPO])</f>
        <v>#VALUE!</v>
      </c>
      <c r="J28" s="137" t="e" cm="1">
        <f t="array" aca="1" ref="J28" ca="1">RetornoAlmocoTratado($A28,$B28,$D28:$G28,TIPO_DE_PONTO,Calendario[DIA]:Calendario[TIPO])</f>
        <v>#VALUE!</v>
      </c>
      <c r="K28" s="166" t="e" cm="1">
        <f t="array" aca="1" ref="K28" ca="1">SaidaTratada($A28,$B28,$D28:$G28,$J28,TIPO_DE_PONTO,Calendario[DIA]:Calendario[TIPO])</f>
        <v>#VALUE!</v>
      </c>
      <c r="L28" s="159" t="e" cm="1">
        <f t="array" aca="1" ref="L28" ca="1">Round2minute(($I28-$H28)+($K28-$J28))</f>
        <v>#VALUE!</v>
      </c>
      <c r="M28" s="138" t="e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#VALUE!</v>
      </c>
      <c r="N28" s="138" t="e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#VALUE!</v>
      </c>
      <c r="O28" s="168" t="e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#VALUE!</v>
      </c>
      <c r="P28" s="79" t="e" cm="1">
        <f t="array" aca="1" ref="P28" ca="1">IF($L28=0,
      0,
      Round2minute((-1)*SUMIF($M28:$O28,"&lt;0")-Q28-S28-R28))</f>
        <v>#VALUE!</v>
      </c>
      <c r="Q28" s="227"/>
      <c r="R28" s="229"/>
      <c r="S28" s="228"/>
      <c r="T28" s="79" t="e" cm="1">
        <f t="array" aca="1" ref="T28" ca="1">IF(OR($B28=FIM_DE_SEMANA,$B28=FERIADO,$B28=DISPENSADO,$B28=MEIO_COMPENSADO),
       Round2minute($L28-U28-V28-W28-X28),
       Round2minute(SUMIF($M28:$O28,"&gt;0")-U28-V28-W28-X28))</f>
        <v>#VALUE!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e">
        <f t="shared" ca="1" si="0"/>
        <v>#VALUE!</v>
      </c>
      <c r="B29" s="34" t="e">
        <f ca="1">IF($C29="",
  "",
  IFERROR(VLOOKUP($C29,Calendario[],2,FALSE),
    IF(WEEKDAY($C29,2)&gt;5,
      FIM_DE_SEMANA,
      DIA_UTIL)))</f>
        <v>#VALUE!</v>
      </c>
      <c r="C29" s="35" t="e">
        <f t="shared" ca="1" si="1"/>
        <v>#VALUE!</v>
      </c>
      <c r="D29" s="216"/>
      <c r="E29" s="217"/>
      <c r="F29" s="217"/>
      <c r="G29" s="218"/>
      <c r="H29" s="157" t="e" cm="1">
        <f t="array" aca="1" ref="H29" ca="1">EntradaTratada($A29,$B29,$D29,$I29,TIPO_DE_PONTO,Calendario[DIA]:Calendario[TIPO])</f>
        <v>#VALUE!</v>
      </c>
      <c r="I29" s="137" t="e" cm="1">
        <f t="array" aca="1" ref="I29" ca="1">SaidaAlmocoTratada($A29,$B29,$D29:$G29,TIPO_DE_PONTO,Calendario[DIA]:Calendario[TIPO])</f>
        <v>#VALUE!</v>
      </c>
      <c r="J29" s="137" t="e" cm="1">
        <f t="array" aca="1" ref="J29" ca="1">RetornoAlmocoTratado($A29,$B29,$D29:$G29,TIPO_DE_PONTO,Calendario[DIA]:Calendario[TIPO])</f>
        <v>#VALUE!</v>
      </c>
      <c r="K29" s="166" t="e" cm="1">
        <f t="array" aca="1" ref="K29" ca="1">SaidaTratada($A29,$B29,$D29:$G29,$J29,TIPO_DE_PONTO,Calendario[DIA]:Calendario[TIPO])</f>
        <v>#VALUE!</v>
      </c>
      <c r="L29" s="159" t="e" cm="1">
        <f t="array" aca="1" ref="L29" ca="1">Round2minute(($I29-$H29)+($K29-$J29))</f>
        <v>#VALUE!</v>
      </c>
      <c r="M29" s="138" t="e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#VALUE!</v>
      </c>
      <c r="N29" s="138" t="e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#VALUE!</v>
      </c>
      <c r="O29" s="168" t="e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#VALUE!</v>
      </c>
      <c r="P29" s="79" t="e" cm="1">
        <f t="array" aca="1" ref="P29" ca="1">IF($L29=0,
      0,
      Round2minute((-1)*SUMIF($M29:$O29,"&lt;0")-Q29-S29-R29))</f>
        <v>#VALUE!</v>
      </c>
      <c r="Q29" s="227"/>
      <c r="R29" s="229"/>
      <c r="S29" s="228"/>
      <c r="T29" s="79" t="e" cm="1">
        <f t="array" aca="1" ref="T29" ca="1">IF(OR($B29=FIM_DE_SEMANA,$B29=FERIADO,$B29=DISPENSADO,$B29=MEIO_COMPENSADO),
       Round2minute($L29-U29-V29-W29-X29),
       Round2minute(SUMIF($M29:$O29,"&gt;0")-U29-V29-W29-X29))</f>
        <v>#VALUE!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e">
        <f t="shared" ca="1" si="0"/>
        <v>#VALUE!</v>
      </c>
      <c r="B30" s="34" t="e">
        <f ca="1">IF($C30="",
  "",
  IFERROR(VLOOKUP($C30,Calendario[],2,FALSE),
    IF(WEEKDAY($C30,2)&gt;5,
      FIM_DE_SEMANA,
      DIA_UTIL)))</f>
        <v>#VALUE!</v>
      </c>
      <c r="C30" s="35" t="e">
        <f t="shared" ca="1" si="1"/>
        <v>#VALUE!</v>
      </c>
      <c r="D30" s="216"/>
      <c r="E30" s="217"/>
      <c r="F30" s="217"/>
      <c r="G30" s="218"/>
      <c r="H30" s="157" t="e" cm="1">
        <f t="array" aca="1" ref="H30" ca="1">EntradaTratada($A30,$B30,$D30,$I30,TIPO_DE_PONTO,Calendario[DIA]:Calendario[TIPO])</f>
        <v>#VALUE!</v>
      </c>
      <c r="I30" s="137" t="e" cm="1">
        <f t="array" aca="1" ref="I30" ca="1">SaidaAlmocoTratada($A30,$B30,$D30:$G30,TIPO_DE_PONTO,Calendario[DIA]:Calendario[TIPO])</f>
        <v>#VALUE!</v>
      </c>
      <c r="J30" s="137" t="e" cm="1">
        <f t="array" aca="1" ref="J30" ca="1">RetornoAlmocoTratado($A30,$B30,$D30:$G30,TIPO_DE_PONTO,Calendario[DIA]:Calendario[TIPO])</f>
        <v>#VALUE!</v>
      </c>
      <c r="K30" s="166" t="e" cm="1">
        <f t="array" aca="1" ref="K30" ca="1">SaidaTratada($A30,$B30,$D30:$G30,$J30,TIPO_DE_PONTO,Calendario[DIA]:Calendario[TIPO])</f>
        <v>#VALUE!</v>
      </c>
      <c r="L30" s="159" t="e" cm="1">
        <f t="array" aca="1" ref="L30" ca="1">Round2minute(($I30-$H30)+($K30-$J30))</f>
        <v>#VALUE!</v>
      </c>
      <c r="M30" s="138" t="e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#VALUE!</v>
      </c>
      <c r="N30" s="138" t="e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#VALUE!</v>
      </c>
      <c r="O30" s="168" t="e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#VALUE!</v>
      </c>
      <c r="P30" s="79" t="e" cm="1">
        <f t="array" aca="1" ref="P30" ca="1">IF($L30=0,
      0,
      Round2minute((-1)*SUMIF($M30:$O30,"&lt;0")-Q30-S30-R30))</f>
        <v>#VALUE!</v>
      </c>
      <c r="Q30" s="227"/>
      <c r="R30" s="229"/>
      <c r="S30" s="228"/>
      <c r="T30" s="79" t="e" cm="1">
        <f t="array" aca="1" ref="T30" ca="1">IF(OR($B30=FIM_DE_SEMANA,$B30=FERIADO,$B30=DISPENSADO,$B30=MEIO_COMPENSADO),
       Round2minute($L30-U30-V30-W30-X30),
       Round2minute(SUMIF($M30:$O30,"&gt;0")-U30-V30-W30-X30))</f>
        <v>#VALUE!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e">
        <f t="shared" ca="1" si="0"/>
        <v>#VALUE!</v>
      </c>
      <c r="B31" s="34" t="e">
        <f ca="1">IF($C31="",
  "",
  IFERROR(VLOOKUP($C31,Calendario[],2,FALSE),
    IF(WEEKDAY($C31,2)&gt;5,
      FIM_DE_SEMANA,
      DIA_UTIL)))</f>
        <v>#VALUE!</v>
      </c>
      <c r="C31" s="35" t="e">
        <f t="shared" ca="1" si="1"/>
        <v>#VALUE!</v>
      </c>
      <c r="D31" s="216"/>
      <c r="E31" s="217"/>
      <c r="F31" s="217"/>
      <c r="G31" s="218"/>
      <c r="H31" s="157" t="e" cm="1">
        <f t="array" aca="1" ref="H31" ca="1">EntradaTratada($A31,$B31,$D31,$I31,TIPO_DE_PONTO,Calendario[DIA]:Calendario[TIPO])</f>
        <v>#VALUE!</v>
      </c>
      <c r="I31" s="137" t="e" cm="1">
        <f t="array" aca="1" ref="I31" ca="1">SaidaAlmocoTratada($A31,$B31,$D31:$G31,TIPO_DE_PONTO,Calendario[DIA]:Calendario[TIPO])</f>
        <v>#VALUE!</v>
      </c>
      <c r="J31" s="137" t="e" cm="1">
        <f t="array" aca="1" ref="J31" ca="1">RetornoAlmocoTratado($A31,$B31,$D31:$G31,TIPO_DE_PONTO,Calendario[DIA]:Calendario[TIPO])</f>
        <v>#VALUE!</v>
      </c>
      <c r="K31" s="166" t="e" cm="1">
        <f t="array" aca="1" ref="K31" ca="1">SaidaTratada($A31,$B31,$D31:$G31,$J31,TIPO_DE_PONTO,Calendario[DIA]:Calendario[TIPO])</f>
        <v>#VALUE!</v>
      </c>
      <c r="L31" s="159" t="e" cm="1">
        <f t="array" aca="1" ref="L31" ca="1">Round2minute(($I31-$H31)+($K31-$J31))</f>
        <v>#VALUE!</v>
      </c>
      <c r="M31" s="138" t="e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#VALUE!</v>
      </c>
      <c r="N31" s="138" t="e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#VALUE!</v>
      </c>
      <c r="O31" s="168" t="e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#VALUE!</v>
      </c>
      <c r="P31" s="79" t="e" cm="1">
        <f t="array" aca="1" ref="P31" ca="1">IF($L31=0,
      0,
      Round2minute((-1)*SUMIF($M31:$O31,"&lt;0")-Q31-S31-R31))</f>
        <v>#VALUE!</v>
      </c>
      <c r="Q31" s="227"/>
      <c r="R31" s="229"/>
      <c r="S31" s="228"/>
      <c r="T31" s="79" t="e" cm="1">
        <f t="array" aca="1" ref="T31" ca="1">IF(OR($B31=FIM_DE_SEMANA,$B31=FERIADO,$B31=DISPENSADO,$B31=MEIO_COMPENSADO),
       Round2minute($L31-U31-V31-W31-X31),
       Round2minute(SUMIF($M31:$O31,"&gt;0")-U31-V31-W31-X31))</f>
        <v>#VALUE!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e">
        <f t="shared" ca="1" si="0"/>
        <v>#VALUE!</v>
      </c>
      <c r="B32" s="145" t="e">
        <f ca="1">IF($C32="",
  "",
  IFERROR(VLOOKUP($C32,Calendario[],2,FALSE),
    IF(WEEKDAY($C32,2)&gt;5,
      FIM_DE_SEMANA,
      DIA_UTIL)))</f>
        <v>#VALUE!</v>
      </c>
      <c r="C32" s="35" t="e">
        <f t="shared" ca="1" si="1"/>
        <v>#VALUE!</v>
      </c>
      <c r="D32" s="221"/>
      <c r="E32" s="220"/>
      <c r="F32" s="220"/>
      <c r="G32" s="222"/>
      <c r="H32" s="158" t="e" cm="1">
        <f t="array" aca="1" ref="H32" ca="1">EntradaTratada($A32,$B32,$D32,$I32,TIPO_DE_PONTO,Calendario[DIA]:Calendario[TIPO])</f>
        <v>#VALUE!</v>
      </c>
      <c r="I32" s="147" t="e" cm="1">
        <f t="array" aca="1" ref="I32" ca="1">SaidaAlmocoTratada($A32,$B32,$D32:$G32,TIPO_DE_PONTO,Calendario[DIA]:Calendario[TIPO])</f>
        <v>#VALUE!</v>
      </c>
      <c r="J32" s="147" t="e" cm="1">
        <f t="array" aca="1" ref="J32" ca="1">RetornoAlmocoTratado($A32,$B32,$D32:$G32,TIPO_DE_PONTO,Calendario[DIA]:Calendario[TIPO])</f>
        <v>#VALUE!</v>
      </c>
      <c r="K32" s="167" t="e" cm="1">
        <f t="array" aca="1" ref="K32" ca="1">SaidaTratada($A32,$B32,$D32:$G32,$J32,TIPO_DE_PONTO,Calendario[DIA]:Calendario[TIPO])</f>
        <v>#VALUE!</v>
      </c>
      <c r="L32" s="160" t="e" cm="1">
        <f t="array" aca="1" ref="L32" ca="1">Round2minute(($I32-$H32)+($K32-$J32))</f>
        <v>#VALUE!</v>
      </c>
      <c r="M32" s="142" t="e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#VALUE!</v>
      </c>
      <c r="N32" s="142" t="e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#VALUE!</v>
      </c>
      <c r="O32" s="169" t="e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#VALUE!</v>
      </c>
      <c r="P32" s="161" t="e" cm="1">
        <f t="array" aca="1" ref="P32" ca="1">IF($L32=0,
      0,
      Round2minute((-1)*SUMIF($M32:$O32,"&lt;0")-Q32-S32-R32))</f>
        <v>#VALUE!</v>
      </c>
      <c r="Q32" s="230"/>
      <c r="R32" s="257"/>
      <c r="S32" s="236"/>
      <c r="T32" s="161" t="e" cm="1">
        <f t="array" aca="1" ref="T32" ca="1">IF(OR($B32=FIM_DE_SEMANA,$B32=FERIADO,$B32=DISPENSADO,$B32=MEIO_COMPENSADO),
       Round2minute($L32-U32-V32-W32-X32),
       Round2minute(SUMIF($M32:$O32,"&gt;0")-U32-V32-W32-X32))</f>
        <v>#VALUE!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aca="1" ref="P33" ca="1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1"/>
      <c r="W37" s="183" t="e">
        <f ca="1">$U$37+$V$33</f>
        <v>#VALUE!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519" priority="23">
      <formula>$B2=FERIADO</formula>
    </cfRule>
    <cfRule type="expression" dxfId="518" priority="24">
      <formula>$B2=DISPENSADO</formula>
    </cfRule>
    <cfRule type="expression" dxfId="517" priority="25">
      <formula>$B2=FERIAS</formula>
    </cfRule>
    <cfRule type="expression" dxfId="516" priority="26">
      <formula>$B2=MEIO_COMPENSADO</formula>
    </cfRule>
    <cfRule type="expression" dxfId="515" priority="27">
      <formula>$B2=COMPENSADO</formula>
    </cfRule>
    <cfRule type="expression" dxfId="514" priority="28">
      <formula>$B2=EXPEDIENTE_CORRIDO</formula>
    </cfRule>
    <cfRule type="expression" dxfId="513" priority="29">
      <formula>$B2=FIM_DE_SEMANA</formula>
    </cfRule>
    <cfRule type="expression" dxfId="512" priority="30">
      <formula>AND($B2="",ISBLANK($B3))</formula>
    </cfRule>
    <cfRule type="expression" dxfId="511" priority="31">
      <formula>AND($B2="",NOT(ISBLANK($B3)))</formula>
    </cfRule>
  </conditionalFormatting>
  <conditionalFormatting sqref="D2:G32 L2:L32 P2:X32">
    <cfRule type="cellIs" dxfId="510" priority="6" stopIfTrue="1" operator="lessThan">
      <formula>0</formula>
    </cfRule>
  </conditionalFormatting>
  <conditionalFormatting sqref="D2:G32">
    <cfRule type="expression" dxfId="509" priority="3" stopIfTrue="1">
      <formula>AND(NOT(ISBLANK(D2)),$B2=FERIAS)</formula>
    </cfRule>
    <cfRule type="notContainsBlanks" dxfId="508" priority="9">
      <formula>LEN(TRIM(D2))&gt;0</formula>
    </cfRule>
  </conditionalFormatting>
  <conditionalFormatting sqref="E2:F32">
    <cfRule type="expression" dxfId="507" priority="4" stopIfTrue="1">
      <formula>AND(AND(NOT(ISBLANK($E2)),NOT(ISBLANK($F2))),OR($B2=FERIADO,$B2=FIM_DE_SEMANA),($F2-$E2)&lt;TRUNC("1:00",6))</formula>
    </cfRule>
    <cfRule type="expression" dxfId="506" priority="10">
      <formula>AND(NOT(ISBLANK($D2)),NOT(ISBLANK($G2)))</formula>
    </cfRule>
  </conditionalFormatting>
  <conditionalFormatting sqref="H2:K32">
    <cfRule type="expression" dxfId="505" priority="7" stopIfTrue="1">
      <formula>NOT(_xlfn.ISFORMULA(H2))</formula>
    </cfRule>
    <cfRule type="expression" dxfId="504" priority="8" stopIfTrue="1">
      <formula>H2&lt;&gt;D2</formula>
    </cfRule>
  </conditionalFormatting>
  <conditionalFormatting sqref="L2:L32">
    <cfRule type="expression" dxfId="503" priority="17">
      <formula>OR(AND($L2=TIMEVALUE("8:00"),OR($B2=DIA_UTIL,$B2=MEIO_COMPENSADO,$B2=COMPENSADO)),AND($L2&gt;=TIMEVALUE("6:00"),$L2&lt;=TIMEVALUE("8:00"),$B2=EXPEDIENTE_CORRIDO))</formula>
    </cfRule>
    <cfRule type="expression" dxfId="502" priority="18">
      <formula>OR($L2&gt;TIMEVALUE("8:00"),AND($L2&gt;TIMEVALUE("0:00"),OR($B2=FERIADO,$B2=FIM_DE_SEMANA,$B2=DISPENSADO)))</formula>
    </cfRule>
    <cfRule type="expression" dxfId="50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500" priority="32">
      <formula>AND(L2=0,$B2=FERIADO)</formula>
    </cfRule>
    <cfRule type="expression" dxfId="499" priority="33">
      <formula>AND(L2=0,$B2=DISPENSADO)</formula>
    </cfRule>
    <cfRule type="expression" dxfId="498" priority="34">
      <formula>AND(L2=0,$B2=FERIAS)</formula>
    </cfRule>
    <cfRule type="expression" dxfId="497" priority="35">
      <formula>AND(L2=0,$B2=MEIO_COMPENSADO)</formula>
    </cfRule>
    <cfRule type="expression" dxfId="496" priority="36">
      <formula>AND(L2=0,$B2=COMPENSADO)</formula>
    </cfRule>
    <cfRule type="expression" dxfId="495" priority="37">
      <formula>AND(L2=0,$B2=EXPEDIENTE_CORRIDO)</formula>
    </cfRule>
    <cfRule type="expression" dxfId="494" priority="38">
      <formula>AND(L2=0,$B2=FIM_DE_SEMANA)</formula>
    </cfRule>
    <cfRule type="expression" dxfId="493" priority="39">
      <formula>AND(L2=0,$B2=DIA_UTIL)</formula>
    </cfRule>
    <cfRule type="expression" dxfId="492" priority="40">
      <formula>$B2=""</formula>
    </cfRule>
  </conditionalFormatting>
  <conditionalFormatting sqref="M2:O32">
    <cfRule type="cellIs" dxfId="491" priority="11" operator="lessThan">
      <formula>0</formula>
    </cfRule>
    <cfRule type="cellIs" dxfId="490" priority="12" operator="greaterThan">
      <formula>0</formula>
    </cfRule>
  </conditionalFormatting>
  <conditionalFormatting sqref="O2:O32">
    <cfRule type="expression" dxfId="489" priority="5" stopIfTrue="1">
      <formula>IF(OR(TIPO_DE_PONTO="Comercial",$A2="Sexta"),$O2&gt;=TIMEVALUE("0:31"),$O2&gt;=TIMEVALUE("1:01"))</formula>
    </cfRule>
  </conditionalFormatting>
  <conditionalFormatting sqref="P2:P33">
    <cfRule type="cellIs" dxfId="488" priority="13" operator="greaterThan">
      <formula>0</formula>
    </cfRule>
  </conditionalFormatting>
  <conditionalFormatting sqref="Q36 W37">
    <cfRule type="cellIs" dxfId="487" priority="21" operator="greaterThanOrEqual">
      <formula>0</formula>
    </cfRule>
    <cfRule type="cellIs" dxfId="486" priority="22" operator="lessThan">
      <formula>0</formula>
    </cfRule>
  </conditionalFormatting>
  <conditionalFormatting sqref="Q2:S33">
    <cfRule type="cellIs" dxfId="485" priority="14" operator="greaterThan">
      <formula>0</formula>
    </cfRule>
  </conditionalFormatting>
  <conditionalFormatting sqref="S40">
    <cfRule type="cellIs" dxfId="484" priority="1" operator="lessThan">
      <formula>0</formula>
    </cfRule>
    <cfRule type="cellIs" dxfId="483" priority="2" operator="greaterThan">
      <formula>0</formula>
    </cfRule>
  </conditionalFormatting>
  <conditionalFormatting sqref="T2:T33">
    <cfRule type="cellIs" dxfId="482" priority="15" operator="greaterThan">
      <formula>0</formula>
    </cfRule>
  </conditionalFormatting>
  <conditionalFormatting sqref="U2:X32 U33 W33:X33">
    <cfRule type="cellIs" dxfId="481" priority="16" operator="greaterThan">
      <formula>0</formula>
    </cfRule>
  </conditionalFormatting>
  <conditionalFormatting sqref="V33">
    <cfRule type="cellIs" dxfId="480" priority="20" operator="greaterThan">
      <formula>0</formula>
    </cfRule>
  </conditionalFormatting>
  <dataValidations disablePrompts="1" count="9"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00000000-0002-0000-0200-000000000000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00000000-0002-0000-0200-000001000000}"/>
    <dataValidation allowBlank="1" showInputMessage="1" showErrorMessage="1" promptTitle="DICA" prompt="Ao fim do mês, é esperado que todos os tempos estejam tratados, assim esse valor será 00:00:00." sqref="P33:X33" xr:uid="{00000000-0002-0000-0200-000002000000}"/>
    <dataValidation allowBlank="1" showInputMessage="1" showErrorMessage="1" promptTitle="DICA" prompt="Coluna de tempos não tratados._x000a_É normal esses valores sumirem quando você os trata nas colunas de tratamento à direita." sqref="P1 T1" xr:uid="{00000000-0002-0000-0200-000003000000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00000000-0002-0000-0200-000004000000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00000000-0002-0000-0200-000005000000}"/>
    <dataValidation allowBlank="1" showInputMessage="1" showErrorMessage="1" promptTitle="DICA" prompt="Essa coluna não entra na conta do saldo total de horas livre do mês." sqref="X1" xr:uid="{D955E8A1-0C6A-4DFC-BC20-3EC0865E3DE5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0C2DA820-5153-4262-848C-627731BD130A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A84F0EDB-2A40-4496-A268-E74DD2A3C2B2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13A07-253E-4281-A4CA-77F3A453727A}">
  <sheetPr codeName="BASE1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Quarta</v>
      </c>
      <c r="B2" s="70" t="str">
        <f ca="1">IF($C2="",
  "",
  IFERROR(VLOOKUP($C2,Calendario[],2,FALSE),
    IF(WEEKDAY($C2,2)&gt;5,
      FIM_DE_SEMANA,
      DIA_UTIL)))</f>
        <v>FERIADO</v>
      </c>
      <c r="C2" s="71">
        <f ca="1">DATE(ANO,MONTH(1&amp;RIGHT(CELL("filename",$C$2),3)),1)</f>
        <v>44196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>Confraternização Universal - Feriado Nacional</v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Quinta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44197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Sexta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44198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Sábado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44199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Domingo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44200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Segunda</v>
      </c>
      <c r="B7" s="34" t="str">
        <f ca="1">IF($C7="",
  "",
  IFERROR(VLOOKUP($C7,Calendario[],2,FALSE),
    IF(WEEKDAY($C7,2)&gt;5,
      FIM_DE_SEMANA,
      DIA_UTIL)))</f>
        <v>FERIADO</v>
      </c>
      <c r="C7" s="35">
        <f t="shared" ca="1" si="1"/>
        <v>44201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>Dia de Reis - Feriado Municipal</v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Terça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44202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Quarta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44203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Quinta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44204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Sexta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44205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Sábado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44206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Domingo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44207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Segunda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44208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Terça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44209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Quarta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44210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Quinta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44211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Sexta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44212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Sábado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44213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Domingo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44214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Segunda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44215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Terça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44216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Quarta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44217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Quinta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44218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Sexta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44219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Sábado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44220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Domingo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44221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Segunda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44222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Terça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44223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Quarta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44224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Quinta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44225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Sexta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44226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479" priority="23">
      <formula>$B2=FERIADO</formula>
    </cfRule>
    <cfRule type="expression" dxfId="478" priority="24">
      <formula>$B2=DISPENSADO</formula>
    </cfRule>
    <cfRule type="expression" dxfId="477" priority="25">
      <formula>$B2=FERIAS</formula>
    </cfRule>
    <cfRule type="expression" dxfId="476" priority="26">
      <formula>$B2=MEIO_COMPENSADO</formula>
    </cfRule>
    <cfRule type="expression" dxfId="475" priority="27">
      <formula>$B2=COMPENSADO</formula>
    </cfRule>
    <cfRule type="expression" dxfId="474" priority="28">
      <formula>$B2=EXPEDIENTE_CORRIDO</formula>
    </cfRule>
    <cfRule type="expression" dxfId="473" priority="29">
      <formula>$B2=FIM_DE_SEMANA</formula>
    </cfRule>
    <cfRule type="expression" dxfId="472" priority="30">
      <formula>AND($B2="",ISBLANK($B3))</formula>
    </cfRule>
    <cfRule type="expression" dxfId="471" priority="31">
      <formula>AND($B2="",NOT(ISBLANK($B3)))</formula>
    </cfRule>
  </conditionalFormatting>
  <conditionalFormatting sqref="D2:G32 L2:L32 P2:X32">
    <cfRule type="cellIs" dxfId="470" priority="6" stopIfTrue="1" operator="lessThan">
      <formula>0</formula>
    </cfRule>
  </conditionalFormatting>
  <conditionalFormatting sqref="D2:G32">
    <cfRule type="expression" dxfId="469" priority="3" stopIfTrue="1">
      <formula>AND(NOT(ISBLANK(D2)),$B2=FERIAS)</formula>
    </cfRule>
    <cfRule type="notContainsBlanks" dxfId="468" priority="9">
      <formula>LEN(TRIM(D2))&gt;0</formula>
    </cfRule>
  </conditionalFormatting>
  <conditionalFormatting sqref="E2:F32">
    <cfRule type="expression" dxfId="467" priority="4" stopIfTrue="1">
      <formula>AND(AND(NOT(ISBLANK($E2)),NOT(ISBLANK($F2))),OR($B2=FERIADO,$B2=FIM_DE_SEMANA),($F2-$E2)&lt;TRUNC("1:00",6))</formula>
    </cfRule>
    <cfRule type="expression" dxfId="466" priority="10">
      <formula>AND(NOT(ISBLANK($D2)),NOT(ISBLANK($G2)))</formula>
    </cfRule>
  </conditionalFormatting>
  <conditionalFormatting sqref="H2:K32">
    <cfRule type="expression" dxfId="465" priority="7" stopIfTrue="1">
      <formula>NOT(_xlfn.ISFORMULA(H2))</formula>
    </cfRule>
    <cfRule type="expression" dxfId="464" priority="8" stopIfTrue="1">
      <formula>H2&lt;&gt;D2</formula>
    </cfRule>
  </conditionalFormatting>
  <conditionalFormatting sqref="L2:L32">
    <cfRule type="expression" dxfId="463" priority="17">
      <formula>OR(AND($L2=TIMEVALUE("8:00"),OR($B2=DIA_UTIL,$B2=MEIO_COMPENSADO,$B2=COMPENSADO)),AND($L2&gt;=TIMEVALUE("6:00"),$L2&lt;=TIMEVALUE("8:00"),$B2=EXPEDIENTE_CORRIDO))</formula>
    </cfRule>
    <cfRule type="expression" dxfId="462" priority="18">
      <formula>OR($L2&gt;TIMEVALUE("8:00"),AND($L2&gt;TIMEVALUE("0:00"),OR($B2=FERIADO,$B2=FIM_DE_SEMANA,$B2=DISPENSADO)))</formula>
    </cfRule>
    <cfRule type="expression" dxfId="46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460" priority="32">
      <formula>AND(L2=0,$B2=FERIADO)</formula>
    </cfRule>
    <cfRule type="expression" dxfId="459" priority="33">
      <formula>AND(L2=0,$B2=DISPENSADO)</formula>
    </cfRule>
    <cfRule type="expression" dxfId="458" priority="34">
      <formula>AND(L2=0,$B2=FERIAS)</formula>
    </cfRule>
    <cfRule type="expression" dxfId="457" priority="35">
      <formula>AND(L2=0,$B2=MEIO_COMPENSADO)</formula>
    </cfRule>
    <cfRule type="expression" dxfId="456" priority="36">
      <formula>AND(L2=0,$B2=COMPENSADO)</formula>
    </cfRule>
    <cfRule type="expression" dxfId="455" priority="37">
      <formula>AND(L2=0,$B2=EXPEDIENTE_CORRIDO)</formula>
    </cfRule>
    <cfRule type="expression" dxfId="454" priority="38">
      <formula>AND(L2=0,$B2=FIM_DE_SEMANA)</formula>
    </cfRule>
    <cfRule type="expression" dxfId="453" priority="39">
      <formula>AND(L2=0,$B2=DIA_UTIL)</formula>
    </cfRule>
    <cfRule type="expression" dxfId="452" priority="40">
      <formula>$B2=""</formula>
    </cfRule>
  </conditionalFormatting>
  <conditionalFormatting sqref="M2:O32">
    <cfRule type="cellIs" dxfId="451" priority="11" operator="lessThan">
      <formula>0</formula>
    </cfRule>
    <cfRule type="cellIs" dxfId="450" priority="12" operator="greaterThan">
      <formula>0</formula>
    </cfRule>
  </conditionalFormatting>
  <conditionalFormatting sqref="O2:O32">
    <cfRule type="expression" dxfId="449" priority="5" stopIfTrue="1">
      <formula>IF(OR(TIPO_DE_PONTO="Comercial",$A2="Sexta"),$O2&gt;=TIMEVALUE("0:31"),$O2&gt;=TIMEVALUE("1:01"))</formula>
    </cfRule>
  </conditionalFormatting>
  <conditionalFormatting sqref="P2:P33">
    <cfRule type="cellIs" dxfId="448" priority="13" operator="greaterThan">
      <formula>0</formula>
    </cfRule>
  </conditionalFormatting>
  <conditionalFormatting sqref="Q36 W37">
    <cfRule type="cellIs" dxfId="447" priority="21" operator="greaterThanOrEqual">
      <formula>0</formula>
    </cfRule>
    <cfRule type="cellIs" dxfId="446" priority="22" operator="lessThan">
      <formula>0</formula>
    </cfRule>
  </conditionalFormatting>
  <conditionalFormatting sqref="Q2:S33">
    <cfRule type="cellIs" dxfId="445" priority="14" operator="greaterThan">
      <formula>0</formula>
    </cfRule>
  </conditionalFormatting>
  <conditionalFormatting sqref="S40">
    <cfRule type="cellIs" dxfId="444" priority="1" operator="lessThan">
      <formula>0</formula>
    </cfRule>
    <cfRule type="cellIs" dxfId="443" priority="2" operator="greaterThan">
      <formula>0</formula>
    </cfRule>
  </conditionalFormatting>
  <conditionalFormatting sqref="T2:T33">
    <cfRule type="cellIs" dxfId="442" priority="15" operator="greaterThan">
      <formula>0</formula>
    </cfRule>
  </conditionalFormatting>
  <conditionalFormatting sqref="U2:X32 U33 W33:X33">
    <cfRule type="cellIs" dxfId="441" priority="16" operator="greaterThan">
      <formula>0</formula>
    </cfRule>
  </conditionalFormatting>
  <conditionalFormatting sqref="V33">
    <cfRule type="cellIs" dxfId="44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FF0F4BF1-DE74-4AA7-BE00-A5E175A68022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36824EB9-7BCF-46C2-B653-E84239E52544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D66A4877-CA58-4AF7-8092-13FA4D2BFBE7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C7307E7B-EB8F-487A-9BAC-06B750726A71}"/>
    <dataValidation allowBlank="1" showInputMessage="1" showErrorMessage="1" promptTitle="DICA" prompt="Essa coluna não entra na conta do saldo total de horas livre do mês." sqref="X1" xr:uid="{F19DD500-2CF3-467B-92F0-54ADA6F93111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4B41B039-29DA-4E7E-A333-91318FD6C559}"/>
    <dataValidation allowBlank="1" showInputMessage="1" showErrorMessage="1" promptTitle="DICA" prompt="Coluna de tempos não tratados._x000a_É normal esses valores sumirem quando você os trata nas colunas de tratamento à direita." sqref="P1 T1" xr:uid="{F025E333-8255-4A10-B32C-123C7F525B64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86BE6B5A-18F5-4658-B90F-AF92B8FFA9F2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F350F87F-D615-4D5D-81CD-509FF89ACBD1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455C-1F8C-427B-B03C-F3A40966BD53}">
  <sheetPr codeName="BASE2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Sábado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44227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Domingo</v>
      </c>
      <c r="B3" s="34" t="str">
        <f ca="1">IF($C3="",
  "",
  IFERROR(VLOOKUP($C3,Calendario[],2,FALSE),
    IF(WEEKDAY($C3,2)&gt;5,
      FIM_DE_SEMANA,
      DIA_UTIL)))</f>
        <v>FIM DE SEMANA</v>
      </c>
      <c r="C3" s="35">
        <f ca="1">IF($C2="",
  "",
  IF(MONTH($C2+1)=MONTH($C2),
    $C2+1,
    ""))</f>
        <v>44228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Segunda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44229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Terça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44230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Quarta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44231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Quinta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44232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Sexta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44233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Sábado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44234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Domingo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44235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Segunda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44236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Terça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44237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Quarta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44238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Quinta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44239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Sexta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44240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Sábado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44241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Domingo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44242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Segunda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44243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Terça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44244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Quarta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44245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Quinta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44246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Sexta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44247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Sábado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44248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Domingo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44249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Segunda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44250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Terça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44251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Quarta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44252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Quinta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44253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6.5" thickBot="1" x14ac:dyDescent="0.3">
      <c r="A29" s="33" t="str">
        <f t="shared" ca="1" si="0"/>
        <v>Sexta</v>
      </c>
      <c r="B29" s="34" t="str">
        <f ca="1">IF($C29="",
  "",
  IFERROR(VLOOKUP($C29,Calendario[],2,FALSE),
    IF(WEEKDAY($C29,2)&gt;5,
      FIM_DE_SEMANA,
      DIA_UTIL)))</f>
        <v>EXPEDIENTE CORRIDO</v>
      </c>
      <c r="C29" s="35">
        <f t="shared" ca="1" si="1"/>
        <v>44254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>Véspera de Carnaval</v>
      </c>
      <c r="Z29" s="239"/>
    </row>
    <row r="30" spans="1:61" s="28" customFormat="1" ht="15.75" hidden="1" x14ac:dyDescent="0.25">
      <c r="A30" s="33" t="str">
        <f t="shared" ca="1" si="0"/>
        <v/>
      </c>
      <c r="B30" s="34" t="str">
        <f ca="1">IF($C30="",
  "",
  IFERROR(VLOOKUP($C30,Calendario[],2,FALSE),
    IF(WEEKDAY($C30,2)&gt;5,
      FIM_DE_SEMANA,
      DIA_UTIL)))</f>
        <v/>
      </c>
      <c r="C30" s="35" t="str">
        <f t="shared" ca="1" si="1"/>
        <v/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hidden="1" x14ac:dyDescent="0.25">
      <c r="A31" s="33" t="str">
        <f t="shared" ca="1" si="0"/>
        <v/>
      </c>
      <c r="B31" s="34" t="str">
        <f ca="1">IF($C31="",
  "",
  IFERROR(VLOOKUP($C31,Calendario[],2,FALSE),
    IF(WEEKDAY($C31,2)&gt;5,
      FIM_DE_SEMANA,
      DIA_UTIL)))</f>
        <v/>
      </c>
      <c r="C31" s="35" t="str">
        <f t="shared" ca="1" si="1"/>
        <v/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439" priority="23">
      <formula>$B2=FERIADO</formula>
    </cfRule>
    <cfRule type="expression" dxfId="438" priority="24">
      <formula>$B2=DISPENSADO</formula>
    </cfRule>
    <cfRule type="expression" dxfId="437" priority="25">
      <formula>$B2=FERIAS</formula>
    </cfRule>
    <cfRule type="expression" dxfId="436" priority="26">
      <formula>$B2=MEIO_COMPENSADO</formula>
    </cfRule>
    <cfRule type="expression" dxfId="435" priority="27">
      <formula>$B2=COMPENSADO</formula>
    </cfRule>
    <cfRule type="expression" dxfId="434" priority="28">
      <formula>$B2=EXPEDIENTE_CORRIDO</formula>
    </cfRule>
    <cfRule type="expression" dxfId="433" priority="29">
      <formula>$B2=FIM_DE_SEMANA</formula>
    </cfRule>
    <cfRule type="expression" dxfId="432" priority="30">
      <formula>AND($B2="",ISBLANK($B3))</formula>
    </cfRule>
    <cfRule type="expression" dxfId="431" priority="31">
      <formula>AND($B2="",NOT(ISBLANK($B3)))</formula>
    </cfRule>
  </conditionalFormatting>
  <conditionalFormatting sqref="D2:G32 L2:L32 P2:X32">
    <cfRule type="cellIs" dxfId="430" priority="6" stopIfTrue="1" operator="lessThan">
      <formula>0</formula>
    </cfRule>
  </conditionalFormatting>
  <conditionalFormatting sqref="D2:G32">
    <cfRule type="expression" dxfId="429" priority="3" stopIfTrue="1">
      <formula>AND(NOT(ISBLANK(D2)),$B2=FERIAS)</formula>
    </cfRule>
    <cfRule type="notContainsBlanks" dxfId="428" priority="9">
      <formula>LEN(TRIM(D2))&gt;0</formula>
    </cfRule>
  </conditionalFormatting>
  <conditionalFormatting sqref="E2:F32">
    <cfRule type="expression" dxfId="427" priority="4" stopIfTrue="1">
      <formula>AND(AND(NOT(ISBLANK($E2)),NOT(ISBLANK($F2))),OR($B2=FERIADO,$B2=FIM_DE_SEMANA),($F2-$E2)&lt;TRUNC("1:00",6))</formula>
    </cfRule>
    <cfRule type="expression" dxfId="426" priority="10">
      <formula>AND(NOT(ISBLANK($D2)),NOT(ISBLANK($G2)))</formula>
    </cfRule>
  </conditionalFormatting>
  <conditionalFormatting sqref="H2:K32">
    <cfRule type="expression" dxfId="425" priority="7" stopIfTrue="1">
      <formula>NOT(_xlfn.ISFORMULA(H2))</formula>
    </cfRule>
    <cfRule type="expression" dxfId="424" priority="8" stopIfTrue="1">
      <formula>H2&lt;&gt;D2</formula>
    </cfRule>
  </conditionalFormatting>
  <conditionalFormatting sqref="L2:L32">
    <cfRule type="expression" dxfId="423" priority="17">
      <formula>OR(AND($L2=TIMEVALUE("8:00"),OR($B2=DIA_UTIL,$B2=MEIO_COMPENSADO,$B2=COMPENSADO)),AND($L2&gt;=TIMEVALUE("6:00"),$L2&lt;=TIMEVALUE("8:00"),$B2=EXPEDIENTE_CORRIDO))</formula>
    </cfRule>
    <cfRule type="expression" dxfId="422" priority="18">
      <formula>OR($L2&gt;TIMEVALUE("8:00"),AND($L2&gt;TIMEVALUE("0:00"),OR($B2=FERIADO,$B2=FIM_DE_SEMANA,$B2=DISPENSADO)))</formula>
    </cfRule>
    <cfRule type="expression" dxfId="42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420" priority="32">
      <formula>AND(L2=0,$B2=FERIADO)</formula>
    </cfRule>
    <cfRule type="expression" dxfId="419" priority="33">
      <formula>AND(L2=0,$B2=DISPENSADO)</formula>
    </cfRule>
    <cfRule type="expression" dxfId="418" priority="34">
      <formula>AND(L2=0,$B2=FERIAS)</formula>
    </cfRule>
    <cfRule type="expression" dxfId="417" priority="35">
      <formula>AND(L2=0,$B2=MEIO_COMPENSADO)</formula>
    </cfRule>
    <cfRule type="expression" dxfId="416" priority="36">
      <formula>AND(L2=0,$B2=COMPENSADO)</formula>
    </cfRule>
    <cfRule type="expression" dxfId="415" priority="37">
      <formula>AND(L2=0,$B2=EXPEDIENTE_CORRIDO)</formula>
    </cfRule>
    <cfRule type="expression" dxfId="414" priority="38">
      <formula>AND(L2=0,$B2=FIM_DE_SEMANA)</formula>
    </cfRule>
    <cfRule type="expression" dxfId="413" priority="39">
      <formula>AND(L2=0,$B2=DIA_UTIL)</formula>
    </cfRule>
    <cfRule type="expression" dxfId="412" priority="40">
      <formula>$B2=""</formula>
    </cfRule>
  </conditionalFormatting>
  <conditionalFormatting sqref="M2:O32">
    <cfRule type="cellIs" dxfId="411" priority="11" operator="lessThan">
      <formula>0</formula>
    </cfRule>
    <cfRule type="cellIs" dxfId="410" priority="12" operator="greaterThan">
      <formula>0</formula>
    </cfRule>
  </conditionalFormatting>
  <conditionalFormatting sqref="O2:O32">
    <cfRule type="expression" dxfId="409" priority="5" stopIfTrue="1">
      <formula>IF(OR(TIPO_DE_PONTO="Comercial",$A2="Sexta"),$O2&gt;=TIMEVALUE("0:31"),$O2&gt;=TIMEVALUE("1:01"))</formula>
    </cfRule>
  </conditionalFormatting>
  <conditionalFormatting sqref="P2:P33">
    <cfRule type="cellIs" dxfId="408" priority="13" operator="greaterThan">
      <formula>0</formula>
    </cfRule>
  </conditionalFormatting>
  <conditionalFormatting sqref="Q36 W37">
    <cfRule type="cellIs" dxfId="407" priority="21" operator="greaterThanOrEqual">
      <formula>0</formula>
    </cfRule>
    <cfRule type="cellIs" dxfId="406" priority="22" operator="lessThan">
      <formula>0</formula>
    </cfRule>
  </conditionalFormatting>
  <conditionalFormatting sqref="Q2:S33">
    <cfRule type="cellIs" dxfId="405" priority="14" operator="greaterThan">
      <formula>0</formula>
    </cfRule>
  </conditionalFormatting>
  <conditionalFormatting sqref="S40">
    <cfRule type="cellIs" dxfId="404" priority="1" operator="lessThan">
      <formula>0</formula>
    </cfRule>
    <cfRule type="cellIs" dxfId="403" priority="2" operator="greaterThan">
      <formula>0</formula>
    </cfRule>
  </conditionalFormatting>
  <conditionalFormatting sqref="T2:T33">
    <cfRule type="cellIs" dxfId="402" priority="15" operator="greaterThan">
      <formula>0</formula>
    </cfRule>
  </conditionalFormatting>
  <conditionalFormatting sqref="U2:X32 U33 W33:X33">
    <cfRule type="cellIs" dxfId="401" priority="16" operator="greaterThan">
      <formula>0</formula>
    </cfRule>
  </conditionalFormatting>
  <conditionalFormatting sqref="V33">
    <cfRule type="cellIs" dxfId="40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97EC6B60-F906-4A03-8481-7F2AA177BCDE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C568C369-78A3-4F07-8CB0-F8C04085EE89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FD1EE9DB-7054-4E0A-BEF4-6D802B9D88FE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4552EA79-8F02-4C40-9D92-BFA26A6FA4F2}"/>
    <dataValidation allowBlank="1" showInputMessage="1" showErrorMessage="1" promptTitle="DICA" prompt="Essa coluna não entra na conta do saldo total de horas livre do mês." sqref="X1" xr:uid="{C9A86507-1430-4CB1-926C-8EADC2131C89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8FDEC968-5447-4A18-BB25-8B94AF1C1534}"/>
    <dataValidation allowBlank="1" showInputMessage="1" showErrorMessage="1" promptTitle="DICA" prompt="Coluna de tempos não tratados._x000a_É normal esses valores sumirem quando você os trata nas colunas de tratamento à direita." sqref="P1 T1" xr:uid="{A78054EB-0ED9-4219-8418-CEA2BFB09EC9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A2ED4502-77C5-4BF8-8E17-D4F4A14C05E9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9A82DD1C-E537-476C-A925-75A5AA56E056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5A40-8E79-4116-90D9-301C7D87CE3C}">
  <sheetPr codeName="BASE3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Sábado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44255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Domingo</v>
      </c>
      <c r="B3" s="34" t="str">
        <f ca="1">IF($C3="",
  "",
  IFERROR(VLOOKUP($C3,Calendario[],2,FALSE),
    IF(WEEKDAY($C3,2)&gt;5,
      FIM_DE_SEMANA,
      DIA_UTIL)))</f>
        <v>FIM DE SEMANA</v>
      </c>
      <c r="C3" s="35">
        <f ca="1">IF($C2="",
  "",
  IF(MONTH($C2+1)=MONTH($C2),
    $C2+1,
    ""))</f>
        <v>44256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Segunda</v>
      </c>
      <c r="B4" s="34" t="str">
        <f ca="1">IF($C4="",
  "",
  IFERROR(VLOOKUP($C4,Calendario[],2,FALSE),
    IF(WEEKDAY($C4,2)&gt;5,
      FIM_DE_SEMANA,
      DIA_UTIL)))</f>
        <v>DISPENSADO</v>
      </c>
      <c r="C4" s="35">
        <f t="shared" ref="C4:C32" ca="1" si="1">IF($C3="",
  "",
  IF(MONTH($C3+1)=MONTH($C3),
    $C3+1,
    ""))</f>
        <v>44257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>Carnaval - Dispensado</v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Terça</v>
      </c>
      <c r="B5" s="34" t="str">
        <f ca="1">IF($C5="",
  "",
  IFERROR(VLOOKUP($C5,Calendario[],2,FALSE),
    IF(WEEKDAY($C5,2)&gt;5,
      FIM_DE_SEMANA,
      DIA_UTIL)))</f>
        <v>FERIADO</v>
      </c>
      <c r="C5" s="35">
        <f t="shared" ca="1" si="1"/>
        <v>44258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>Carnaval - Feriado Estadual</v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Quarta</v>
      </c>
      <c r="B6" s="34" t="str">
        <f ca="1">IF($C6="",
  "",
  IFERROR(VLOOKUP($C6,Calendario[],2,FALSE),
    IF(WEEKDAY($C6,2)&gt;5,
      FIM_DE_SEMANA,
      DIA_UTIL)))</f>
        <v>1/2 COMPENSADO</v>
      </c>
      <c r="C6" s="35">
        <f t="shared" ca="1" si="1"/>
        <v>44259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>Cinzas 1° Expediente - Dispensado / 2° Expediente - Compensado</v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Quinta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44260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Sexta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44261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Sábado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44262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Domingo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44263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Segunda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44264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Terça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44265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Quarta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44266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Quinta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44267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Sexta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44268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Sábado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44269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Domingo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44270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Segunda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44271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Terça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44272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Quarta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44273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Quinta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44274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Sexta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44275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Sábado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44276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Domingo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44277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Segunda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44278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Terça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44279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Quarta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44280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Quinta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44281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Sexta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44282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Sábado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44283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Domingo</v>
      </c>
      <c r="B31" s="34" t="str">
        <f ca="1">IF($C31="",
  "",
  IFERROR(VLOOKUP($C31,Calendario[],2,FALSE),
    IF(WEEKDAY($C31,2)&gt;5,
      FIM_DE_SEMANA,
      DIA_UTIL)))</f>
        <v>FIM DE SEMANA</v>
      </c>
      <c r="C31" s="35">
        <f t="shared" ca="1" si="1"/>
        <v>44284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Segunda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44285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399" priority="23">
      <formula>$B2=FERIADO</formula>
    </cfRule>
    <cfRule type="expression" dxfId="398" priority="24">
      <formula>$B2=DISPENSADO</formula>
    </cfRule>
    <cfRule type="expression" dxfId="397" priority="25">
      <formula>$B2=FERIAS</formula>
    </cfRule>
    <cfRule type="expression" dxfId="396" priority="26">
      <formula>$B2=MEIO_COMPENSADO</formula>
    </cfRule>
    <cfRule type="expression" dxfId="395" priority="27">
      <formula>$B2=COMPENSADO</formula>
    </cfRule>
    <cfRule type="expression" dxfId="394" priority="28">
      <formula>$B2=EXPEDIENTE_CORRIDO</formula>
    </cfRule>
    <cfRule type="expression" dxfId="393" priority="29">
      <formula>$B2=FIM_DE_SEMANA</formula>
    </cfRule>
    <cfRule type="expression" dxfId="392" priority="30">
      <formula>AND($B2="",ISBLANK($B3))</formula>
    </cfRule>
    <cfRule type="expression" dxfId="391" priority="31">
      <formula>AND($B2="",NOT(ISBLANK($B3)))</formula>
    </cfRule>
  </conditionalFormatting>
  <conditionalFormatting sqref="D2:G32 L2:L32 P2:X32">
    <cfRule type="cellIs" dxfId="390" priority="6" stopIfTrue="1" operator="lessThan">
      <formula>0</formula>
    </cfRule>
  </conditionalFormatting>
  <conditionalFormatting sqref="D2:G32">
    <cfRule type="expression" dxfId="389" priority="3" stopIfTrue="1">
      <formula>AND(NOT(ISBLANK(D2)),$B2=FERIAS)</formula>
    </cfRule>
    <cfRule type="notContainsBlanks" dxfId="388" priority="9">
      <formula>LEN(TRIM(D2))&gt;0</formula>
    </cfRule>
  </conditionalFormatting>
  <conditionalFormatting sqref="E2:F32">
    <cfRule type="expression" dxfId="387" priority="4" stopIfTrue="1">
      <formula>AND(AND(NOT(ISBLANK($E2)),NOT(ISBLANK($F2))),OR($B2=FERIADO,$B2=FIM_DE_SEMANA),($F2-$E2)&lt;TRUNC("1:00",6))</formula>
    </cfRule>
    <cfRule type="expression" dxfId="386" priority="10">
      <formula>AND(NOT(ISBLANK($D2)),NOT(ISBLANK($G2)))</formula>
    </cfRule>
  </conditionalFormatting>
  <conditionalFormatting sqref="H2:K32">
    <cfRule type="expression" dxfId="385" priority="7" stopIfTrue="1">
      <formula>NOT(_xlfn.ISFORMULA(H2))</formula>
    </cfRule>
    <cfRule type="expression" dxfId="384" priority="8" stopIfTrue="1">
      <formula>H2&lt;&gt;D2</formula>
    </cfRule>
  </conditionalFormatting>
  <conditionalFormatting sqref="L2:L32">
    <cfRule type="expression" dxfId="383" priority="17">
      <formula>OR(AND($L2=TIMEVALUE("8:00"),OR($B2=DIA_UTIL,$B2=MEIO_COMPENSADO,$B2=COMPENSADO)),AND($L2&gt;=TIMEVALUE("6:00"),$L2&lt;=TIMEVALUE("8:00"),$B2=EXPEDIENTE_CORRIDO))</formula>
    </cfRule>
    <cfRule type="expression" dxfId="382" priority="18">
      <formula>OR($L2&gt;TIMEVALUE("8:00"),AND($L2&gt;TIMEVALUE("0:00"),OR($B2=FERIADO,$B2=FIM_DE_SEMANA,$B2=DISPENSADO)))</formula>
    </cfRule>
    <cfRule type="expression" dxfId="38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80" priority="32">
      <formula>AND(L2=0,$B2=FERIADO)</formula>
    </cfRule>
    <cfRule type="expression" dxfId="379" priority="33">
      <formula>AND(L2=0,$B2=DISPENSADO)</formula>
    </cfRule>
    <cfRule type="expression" dxfId="378" priority="34">
      <formula>AND(L2=0,$B2=FERIAS)</formula>
    </cfRule>
    <cfRule type="expression" dxfId="377" priority="35">
      <formula>AND(L2=0,$B2=MEIO_COMPENSADO)</formula>
    </cfRule>
    <cfRule type="expression" dxfId="376" priority="36">
      <formula>AND(L2=0,$B2=COMPENSADO)</formula>
    </cfRule>
    <cfRule type="expression" dxfId="375" priority="37">
      <formula>AND(L2=0,$B2=EXPEDIENTE_CORRIDO)</formula>
    </cfRule>
    <cfRule type="expression" dxfId="374" priority="38">
      <formula>AND(L2=0,$B2=FIM_DE_SEMANA)</formula>
    </cfRule>
    <cfRule type="expression" dxfId="373" priority="39">
      <formula>AND(L2=0,$B2=DIA_UTIL)</formula>
    </cfRule>
    <cfRule type="expression" dxfId="372" priority="40">
      <formula>$B2=""</formula>
    </cfRule>
  </conditionalFormatting>
  <conditionalFormatting sqref="M2:O32">
    <cfRule type="cellIs" dxfId="371" priority="11" operator="lessThan">
      <formula>0</formula>
    </cfRule>
    <cfRule type="cellIs" dxfId="370" priority="12" operator="greaterThan">
      <formula>0</formula>
    </cfRule>
  </conditionalFormatting>
  <conditionalFormatting sqref="O2:O32">
    <cfRule type="expression" dxfId="369" priority="5" stopIfTrue="1">
      <formula>IF(OR(TIPO_DE_PONTO="Comercial",$A2="Sexta"),$O2&gt;=TIMEVALUE("0:31"),$O2&gt;=TIMEVALUE("1:01"))</formula>
    </cfRule>
  </conditionalFormatting>
  <conditionalFormatting sqref="P2:P33">
    <cfRule type="cellIs" dxfId="368" priority="13" operator="greaterThan">
      <formula>0</formula>
    </cfRule>
  </conditionalFormatting>
  <conditionalFormatting sqref="Q36 W37">
    <cfRule type="cellIs" dxfId="367" priority="21" operator="greaterThanOrEqual">
      <formula>0</formula>
    </cfRule>
    <cfRule type="cellIs" dxfId="366" priority="22" operator="lessThan">
      <formula>0</formula>
    </cfRule>
  </conditionalFormatting>
  <conditionalFormatting sqref="Q2:S33">
    <cfRule type="cellIs" dxfId="365" priority="14" operator="greaterThan">
      <formula>0</formula>
    </cfRule>
  </conditionalFormatting>
  <conditionalFormatting sqref="S40">
    <cfRule type="cellIs" dxfId="364" priority="1" operator="lessThan">
      <formula>0</formula>
    </cfRule>
    <cfRule type="cellIs" dxfId="363" priority="2" operator="greaterThan">
      <formula>0</formula>
    </cfRule>
  </conditionalFormatting>
  <conditionalFormatting sqref="T2:T33">
    <cfRule type="cellIs" dxfId="362" priority="15" operator="greaterThan">
      <formula>0</formula>
    </cfRule>
  </conditionalFormatting>
  <conditionalFormatting sqref="U2:X32 U33 W33:X33">
    <cfRule type="cellIs" dxfId="361" priority="16" operator="greaterThan">
      <formula>0</formula>
    </cfRule>
  </conditionalFormatting>
  <conditionalFormatting sqref="V33">
    <cfRule type="cellIs" dxfId="36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2DAC29F5-9EB7-4EAE-9965-5170BAC5754A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AF2A649F-3B2F-404B-8A9C-529FED47242A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305A42CA-3230-44F3-940F-5BC1CD24BD82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3F2638A9-0916-4E3D-A76E-B7E9307BAB28}"/>
    <dataValidation allowBlank="1" showInputMessage="1" showErrorMessage="1" promptTitle="DICA" prompt="Essa coluna não entra na conta do saldo total de horas livre do mês." sqref="X1" xr:uid="{FDE0C3D0-448C-4AAB-85FF-11E50BE6E836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AE8A8F29-48D8-40F2-A7A3-EF7D97C34F82}"/>
    <dataValidation allowBlank="1" showInputMessage="1" showErrorMessage="1" promptTitle="DICA" prompt="Coluna de tempos não tratados._x000a_É normal esses valores sumirem quando você os trata nas colunas de tratamento à direita." sqref="P1 T1" xr:uid="{0682386F-9CFD-4067-A253-CF29B16961EE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A21A53BF-4107-4C6D-949D-67107CE445A6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72A9A672-76EC-4EB0-A12F-BE3E11763A6D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3659-3539-4A22-8272-3EA511533FB9}">
  <sheetPr codeName="BASE4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Terça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44286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Quarta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44287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Quinta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44288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Sexta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44289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Sábado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44290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Domingo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44291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Segunda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44292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Terça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44293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Quarta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44294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Quinta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44295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Sexta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44296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Sábado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44297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Domingo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44298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Segunda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44299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Terça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44300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Quarta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44301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Quinta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44302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Sexta</v>
      </c>
      <c r="B19" s="34" t="str">
        <f ca="1">IF($C19="",
  "",
  IFERROR(VLOOKUP($C19,Calendario[],2,FALSE),
    IF(WEEKDAY($C19,2)&gt;5,
      FIM_DE_SEMANA,
      DIA_UTIL)))</f>
        <v>FERIADO</v>
      </c>
      <c r="C19" s="35">
        <f t="shared" ca="1" si="1"/>
        <v>44303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>Sexta-feira da Paixão - Feriado Municipal</v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Sábado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44304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Domingo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44305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Segunda</v>
      </c>
      <c r="B22" s="34" t="str">
        <f ca="1">IF($C22="",
  "",
  IFERROR(VLOOKUP($C22,Calendario[],2,FALSE),
    IF(WEEKDAY($C22,2)&gt;5,
      FIM_DE_SEMANA,
      DIA_UTIL)))</f>
        <v>FERIADO</v>
      </c>
      <c r="C22" s="35">
        <f t="shared" ca="1" si="1"/>
        <v>44306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>Dia de Tiradentes - Feriado Nacional</v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Terça</v>
      </c>
      <c r="B23" s="34" t="str">
        <f ca="1">IF($C23="",
  "",
  IFERROR(VLOOKUP($C23,Calendario[],2,FALSE),
    IF(WEEKDAY($C23,2)&gt;5,
      FIM_DE_SEMANA,
      DIA_UTIL)))</f>
        <v>COMPENSADO</v>
      </c>
      <c r="C23" s="35">
        <f t="shared" ca="1" si="1"/>
        <v>44307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>Dia Compensado Facultativo (Dia Normal)</v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Quarta</v>
      </c>
      <c r="B24" s="34" t="str">
        <f ca="1">IF($C24="",
  "",
  IFERROR(VLOOKUP($C24,Calendario[],2,FALSE),
    IF(WEEKDAY($C24,2)&gt;5,
      FIM_DE_SEMANA,
      DIA_UTIL)))</f>
        <v>FERIADO</v>
      </c>
      <c r="C24" s="35">
        <f t="shared" ca="1" si="1"/>
        <v>44308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>Dia de São Jorge - Feriado Estadual</v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Quinta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44309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Sexta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44310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Sábado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44311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Domingo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44312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Segunda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44313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Terça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44314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Quarta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44315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359" priority="23">
      <formula>$B2=FERIADO</formula>
    </cfRule>
    <cfRule type="expression" dxfId="358" priority="24">
      <formula>$B2=DISPENSADO</formula>
    </cfRule>
    <cfRule type="expression" dxfId="357" priority="25">
      <formula>$B2=FERIAS</formula>
    </cfRule>
    <cfRule type="expression" dxfId="356" priority="26">
      <formula>$B2=MEIO_COMPENSADO</formula>
    </cfRule>
    <cfRule type="expression" dxfId="355" priority="27">
      <formula>$B2=COMPENSADO</formula>
    </cfRule>
    <cfRule type="expression" dxfId="354" priority="28">
      <formula>$B2=EXPEDIENTE_CORRIDO</formula>
    </cfRule>
    <cfRule type="expression" dxfId="353" priority="29">
      <formula>$B2=FIM_DE_SEMANA</formula>
    </cfRule>
    <cfRule type="expression" dxfId="352" priority="30">
      <formula>AND($B2="",ISBLANK($B3))</formula>
    </cfRule>
    <cfRule type="expression" dxfId="351" priority="31">
      <formula>AND($B2="",NOT(ISBLANK($B3)))</formula>
    </cfRule>
  </conditionalFormatting>
  <conditionalFormatting sqref="D2:G32 L2:L32 P2:X32">
    <cfRule type="cellIs" dxfId="350" priority="6" stopIfTrue="1" operator="lessThan">
      <formula>0</formula>
    </cfRule>
  </conditionalFormatting>
  <conditionalFormatting sqref="D2:G32">
    <cfRule type="expression" dxfId="349" priority="3" stopIfTrue="1">
      <formula>AND(NOT(ISBLANK(D2)),$B2=FERIAS)</formula>
    </cfRule>
    <cfRule type="notContainsBlanks" dxfId="348" priority="9">
      <formula>LEN(TRIM(D2))&gt;0</formula>
    </cfRule>
  </conditionalFormatting>
  <conditionalFormatting sqref="E2:F32">
    <cfRule type="expression" dxfId="347" priority="4" stopIfTrue="1">
      <formula>AND(AND(NOT(ISBLANK($E2)),NOT(ISBLANK($F2))),OR($B2=FERIADO,$B2=FIM_DE_SEMANA),($F2-$E2)&lt;TRUNC("1:00",6))</formula>
    </cfRule>
    <cfRule type="expression" dxfId="346" priority="10">
      <formula>AND(NOT(ISBLANK($D2)),NOT(ISBLANK($G2)))</formula>
    </cfRule>
  </conditionalFormatting>
  <conditionalFormatting sqref="H2:K32">
    <cfRule type="expression" dxfId="345" priority="7" stopIfTrue="1">
      <formula>NOT(_xlfn.ISFORMULA(H2))</formula>
    </cfRule>
    <cfRule type="expression" dxfId="344" priority="8" stopIfTrue="1">
      <formula>H2&lt;&gt;D2</formula>
    </cfRule>
  </conditionalFormatting>
  <conditionalFormatting sqref="L2:L32">
    <cfRule type="expression" dxfId="343" priority="17">
      <formula>OR(AND($L2=TIMEVALUE("8:00"),OR($B2=DIA_UTIL,$B2=MEIO_COMPENSADO,$B2=COMPENSADO)),AND($L2&gt;=TIMEVALUE("6:00"),$L2&lt;=TIMEVALUE("8:00"),$B2=EXPEDIENTE_CORRIDO))</formula>
    </cfRule>
    <cfRule type="expression" dxfId="342" priority="18">
      <formula>OR($L2&gt;TIMEVALUE("8:00"),AND($L2&gt;TIMEVALUE("0:00"),OR($B2=FERIADO,$B2=FIM_DE_SEMANA,$B2=DISPENSADO)))</formula>
    </cfRule>
    <cfRule type="expression" dxfId="34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40" priority="32">
      <formula>AND(L2=0,$B2=FERIADO)</formula>
    </cfRule>
    <cfRule type="expression" dxfId="339" priority="33">
      <formula>AND(L2=0,$B2=DISPENSADO)</formula>
    </cfRule>
    <cfRule type="expression" dxfId="338" priority="34">
      <formula>AND(L2=0,$B2=FERIAS)</formula>
    </cfRule>
    <cfRule type="expression" dxfId="337" priority="35">
      <formula>AND(L2=0,$B2=MEIO_COMPENSADO)</formula>
    </cfRule>
    <cfRule type="expression" dxfId="336" priority="36">
      <formula>AND(L2=0,$B2=COMPENSADO)</formula>
    </cfRule>
    <cfRule type="expression" dxfId="335" priority="37">
      <formula>AND(L2=0,$B2=EXPEDIENTE_CORRIDO)</formula>
    </cfRule>
    <cfRule type="expression" dxfId="334" priority="38">
      <formula>AND(L2=0,$B2=FIM_DE_SEMANA)</formula>
    </cfRule>
    <cfRule type="expression" dxfId="333" priority="39">
      <formula>AND(L2=0,$B2=DIA_UTIL)</formula>
    </cfRule>
    <cfRule type="expression" dxfId="332" priority="40">
      <formula>$B2=""</formula>
    </cfRule>
  </conditionalFormatting>
  <conditionalFormatting sqref="M2:O32">
    <cfRule type="cellIs" dxfId="331" priority="11" operator="lessThan">
      <formula>0</formula>
    </cfRule>
    <cfRule type="cellIs" dxfId="330" priority="12" operator="greaterThan">
      <formula>0</formula>
    </cfRule>
  </conditionalFormatting>
  <conditionalFormatting sqref="O2:O32">
    <cfRule type="expression" dxfId="329" priority="5" stopIfTrue="1">
      <formula>IF(OR(TIPO_DE_PONTO="Comercial",$A2="Sexta"),$O2&gt;=TIMEVALUE("0:31"),$O2&gt;=TIMEVALUE("1:01"))</formula>
    </cfRule>
  </conditionalFormatting>
  <conditionalFormatting sqref="P2:P33">
    <cfRule type="cellIs" dxfId="328" priority="13" operator="greaterThan">
      <formula>0</formula>
    </cfRule>
  </conditionalFormatting>
  <conditionalFormatting sqref="Q36 W37">
    <cfRule type="cellIs" dxfId="327" priority="21" operator="greaterThanOrEqual">
      <formula>0</formula>
    </cfRule>
    <cfRule type="cellIs" dxfId="326" priority="22" operator="lessThan">
      <formula>0</formula>
    </cfRule>
  </conditionalFormatting>
  <conditionalFormatting sqref="Q2:S33">
    <cfRule type="cellIs" dxfId="325" priority="14" operator="greaterThan">
      <formula>0</formula>
    </cfRule>
  </conditionalFormatting>
  <conditionalFormatting sqref="S40">
    <cfRule type="cellIs" dxfId="324" priority="1" operator="lessThan">
      <formula>0</formula>
    </cfRule>
    <cfRule type="cellIs" dxfId="323" priority="2" operator="greaterThan">
      <formula>0</formula>
    </cfRule>
  </conditionalFormatting>
  <conditionalFormatting sqref="T2:T33">
    <cfRule type="cellIs" dxfId="322" priority="15" operator="greaterThan">
      <formula>0</formula>
    </cfRule>
  </conditionalFormatting>
  <conditionalFormatting sqref="U2:X32 U33 W33:X33">
    <cfRule type="cellIs" dxfId="321" priority="16" operator="greaterThan">
      <formula>0</formula>
    </cfRule>
  </conditionalFormatting>
  <conditionalFormatting sqref="V33">
    <cfRule type="cellIs" dxfId="32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043378D5-8655-4658-AAAD-2A7087E67C59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F61494F6-440D-4758-B053-8538377B8BE9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B85CD356-1656-4A73-B2A3-B9618064CD20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F46ED469-C6D1-4347-B42D-63367345A177}"/>
    <dataValidation allowBlank="1" showInputMessage="1" showErrorMessage="1" promptTitle="DICA" prompt="Essa coluna não entra na conta do saldo total de horas livre do mês." sqref="X1" xr:uid="{DFAA70A0-23A5-49FA-919E-B07C739C5A0A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7E1327F5-E5B3-44DD-AE90-1815CCA444D3}"/>
    <dataValidation allowBlank="1" showInputMessage="1" showErrorMessage="1" promptTitle="DICA" prompt="Coluna de tempos não tratados._x000a_É normal esses valores sumirem quando você os trata nas colunas de tratamento à direita." sqref="P1 T1" xr:uid="{4B23B0AF-59B1-4305-BF46-FFA03B351386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AFB81E21-4579-486A-873A-38ABD8452D1F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76678CAF-1D38-4318-A7B1-1ACF611A6FD0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E2A36-A454-4E4D-837B-FCA360E38045}">
  <sheetPr codeName="BASE5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Quinta</v>
      </c>
      <c r="B2" s="70" t="str">
        <f ca="1">IF($C2="",
  "",
  IFERROR(VLOOKUP($C2,Calendario[],2,FALSE),
    IF(WEEKDAY($C2,2)&gt;5,
      FIM_DE_SEMANA,
      DIA_UTIL)))</f>
        <v>FERIADO</v>
      </c>
      <c r="C2" s="71">
        <f ca="1">DATE(ANO,MONTH(1&amp;RIGHT(CELL("filename",$C$2),3)),1)</f>
        <v>44316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>Dia do Trabalho - Feriado Nacional</v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Sexta</v>
      </c>
      <c r="B3" s="34" t="str">
        <f ca="1">IF($C3="",
  "",
  IFERROR(VLOOKUP($C3,Calendario[],2,FALSE),
    IF(WEEKDAY($C3,2)&gt;5,
      FIM_DE_SEMANA,
      DIA_UTIL)))</f>
        <v>COMPENSADO</v>
      </c>
      <c r="C3" s="35">
        <f ca="1">IF($C2="",
  "",
  IF(MONTH($C2+1)=MONTH($C2),
    $C2+1,
    ""))</f>
        <v>44317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>Dia Compensado Facultativo (Dia Normal)</v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Sábado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44318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Domingo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44319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Segunda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44320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Terça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44321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Quarta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44322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Quinta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44323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Sexta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44324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Sábado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44325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Domingo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44326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Segunda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44327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Terça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44328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Quarta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44329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Quinta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44330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Sexta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44331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Sábado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44332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Domingo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44333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Segunda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44334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Terça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44335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Quarta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44336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Quinta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44337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Sexta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44338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Sábado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44339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Domingo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44340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Segunda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44341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Terça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44342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Quarta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44343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Quinta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44344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Sexta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44345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Sábado</v>
      </c>
      <c r="B32" s="145" t="str">
        <f ca="1">IF($C32="",
  "",
  IFERROR(VLOOKUP($C32,Calendario[],2,FALSE),
    IF(WEEKDAY($C32,2)&gt;5,
      FIM_DE_SEMANA,
      DIA_UTIL)))</f>
        <v>FIM DE SEMANA</v>
      </c>
      <c r="C32" s="35">
        <f t="shared" ca="1" si="1"/>
        <v>44346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319" priority="23">
      <formula>$B2=FERIADO</formula>
    </cfRule>
    <cfRule type="expression" dxfId="318" priority="24">
      <formula>$B2=DISPENSADO</formula>
    </cfRule>
    <cfRule type="expression" dxfId="317" priority="25">
      <formula>$B2=FERIAS</formula>
    </cfRule>
    <cfRule type="expression" dxfId="316" priority="26">
      <formula>$B2=MEIO_COMPENSADO</formula>
    </cfRule>
    <cfRule type="expression" dxfId="315" priority="27">
      <formula>$B2=COMPENSADO</formula>
    </cfRule>
    <cfRule type="expression" dxfId="314" priority="28">
      <formula>$B2=EXPEDIENTE_CORRIDO</formula>
    </cfRule>
    <cfRule type="expression" dxfId="313" priority="29">
      <formula>$B2=FIM_DE_SEMANA</formula>
    </cfRule>
    <cfRule type="expression" dxfId="312" priority="30">
      <formula>AND($B2="",ISBLANK($B3))</formula>
    </cfRule>
    <cfRule type="expression" dxfId="311" priority="31">
      <formula>AND($B2="",NOT(ISBLANK($B3)))</formula>
    </cfRule>
  </conditionalFormatting>
  <conditionalFormatting sqref="D2:G32 L2:L32 P2:X32">
    <cfRule type="cellIs" dxfId="310" priority="6" stopIfTrue="1" operator="lessThan">
      <formula>0</formula>
    </cfRule>
  </conditionalFormatting>
  <conditionalFormatting sqref="D2:G32">
    <cfRule type="expression" dxfId="309" priority="3" stopIfTrue="1">
      <formula>AND(NOT(ISBLANK(D2)),$B2=FERIAS)</formula>
    </cfRule>
    <cfRule type="notContainsBlanks" dxfId="308" priority="9">
      <formula>LEN(TRIM(D2))&gt;0</formula>
    </cfRule>
  </conditionalFormatting>
  <conditionalFormatting sqref="E2:F32">
    <cfRule type="expression" dxfId="307" priority="4" stopIfTrue="1">
      <formula>AND(AND(NOT(ISBLANK($E2)),NOT(ISBLANK($F2))),OR($B2=FERIADO,$B2=FIM_DE_SEMANA),($F2-$E2)&lt;TRUNC("1:00",6))</formula>
    </cfRule>
    <cfRule type="expression" dxfId="306" priority="10">
      <formula>AND(NOT(ISBLANK($D2)),NOT(ISBLANK($G2)))</formula>
    </cfRule>
  </conditionalFormatting>
  <conditionalFormatting sqref="H2:K32">
    <cfRule type="expression" dxfId="305" priority="7" stopIfTrue="1">
      <formula>NOT(_xlfn.ISFORMULA(H2))</formula>
    </cfRule>
    <cfRule type="expression" dxfId="304" priority="8" stopIfTrue="1">
      <formula>H2&lt;&gt;D2</formula>
    </cfRule>
  </conditionalFormatting>
  <conditionalFormatting sqref="L2:L32">
    <cfRule type="expression" dxfId="303" priority="17">
      <formula>OR(AND($L2=TIMEVALUE("8:00"),OR($B2=DIA_UTIL,$B2=MEIO_COMPENSADO,$B2=COMPENSADO)),AND($L2&gt;=TIMEVALUE("6:00"),$L2&lt;=TIMEVALUE("8:00"),$B2=EXPEDIENTE_CORRIDO))</formula>
    </cfRule>
    <cfRule type="expression" dxfId="302" priority="18">
      <formula>OR($L2&gt;TIMEVALUE("8:00"),AND($L2&gt;TIMEVALUE("0:00"),OR($B2=FERIADO,$B2=FIM_DE_SEMANA,$B2=DISPENSADO)))</formula>
    </cfRule>
    <cfRule type="expression" dxfId="30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300" priority="32">
      <formula>AND(L2=0,$B2=FERIADO)</formula>
    </cfRule>
    <cfRule type="expression" dxfId="299" priority="33">
      <formula>AND(L2=0,$B2=DISPENSADO)</formula>
    </cfRule>
    <cfRule type="expression" dxfId="298" priority="34">
      <formula>AND(L2=0,$B2=FERIAS)</formula>
    </cfRule>
    <cfRule type="expression" dxfId="297" priority="35">
      <formula>AND(L2=0,$B2=MEIO_COMPENSADO)</formula>
    </cfRule>
    <cfRule type="expression" dxfId="296" priority="36">
      <formula>AND(L2=0,$B2=COMPENSADO)</formula>
    </cfRule>
    <cfRule type="expression" dxfId="295" priority="37">
      <formula>AND(L2=0,$B2=EXPEDIENTE_CORRIDO)</formula>
    </cfRule>
    <cfRule type="expression" dxfId="294" priority="38">
      <formula>AND(L2=0,$B2=FIM_DE_SEMANA)</formula>
    </cfRule>
    <cfRule type="expression" dxfId="293" priority="39">
      <formula>AND(L2=0,$B2=DIA_UTIL)</formula>
    </cfRule>
    <cfRule type="expression" dxfId="292" priority="40">
      <formula>$B2=""</formula>
    </cfRule>
  </conditionalFormatting>
  <conditionalFormatting sqref="M2:O32">
    <cfRule type="cellIs" dxfId="291" priority="11" operator="lessThan">
      <formula>0</formula>
    </cfRule>
    <cfRule type="cellIs" dxfId="290" priority="12" operator="greaterThan">
      <formula>0</formula>
    </cfRule>
  </conditionalFormatting>
  <conditionalFormatting sqref="O2:O32">
    <cfRule type="expression" dxfId="289" priority="5" stopIfTrue="1">
      <formula>IF(OR(TIPO_DE_PONTO="Comercial",$A2="Sexta"),$O2&gt;=TIMEVALUE("0:31"),$O2&gt;=TIMEVALUE("1:01"))</formula>
    </cfRule>
  </conditionalFormatting>
  <conditionalFormatting sqref="P2:P33">
    <cfRule type="cellIs" dxfId="288" priority="13" operator="greaterThan">
      <formula>0</formula>
    </cfRule>
  </conditionalFormatting>
  <conditionalFormatting sqref="Q36 W37">
    <cfRule type="cellIs" dxfId="287" priority="21" operator="greaterThanOrEqual">
      <formula>0</formula>
    </cfRule>
    <cfRule type="cellIs" dxfId="286" priority="22" operator="lessThan">
      <formula>0</formula>
    </cfRule>
  </conditionalFormatting>
  <conditionalFormatting sqref="Q2:S33">
    <cfRule type="cellIs" dxfId="285" priority="14" operator="greaterThan">
      <formula>0</formula>
    </cfRule>
  </conditionalFormatting>
  <conditionalFormatting sqref="S40">
    <cfRule type="cellIs" dxfId="284" priority="1" operator="lessThan">
      <formula>0</formula>
    </cfRule>
    <cfRule type="cellIs" dxfId="283" priority="2" operator="greaterThan">
      <formula>0</formula>
    </cfRule>
  </conditionalFormatting>
  <conditionalFormatting sqref="T2:T33">
    <cfRule type="cellIs" dxfId="282" priority="15" operator="greaterThan">
      <formula>0</formula>
    </cfRule>
  </conditionalFormatting>
  <conditionalFormatting sqref="U2:X32 U33 W33:X33">
    <cfRule type="cellIs" dxfId="281" priority="16" operator="greaterThan">
      <formula>0</formula>
    </cfRule>
  </conditionalFormatting>
  <conditionalFormatting sqref="V33">
    <cfRule type="cellIs" dxfId="28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AA8DA356-1455-46AC-801E-12CC80D39880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FAE3C475-AAC1-4BAD-8D79-6E13B1964E12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3AD711F8-269B-46B9-A660-F7C3EA7025DE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F1931799-0F17-4432-8C10-5F207B5C146F}"/>
    <dataValidation allowBlank="1" showInputMessage="1" showErrorMessage="1" promptTitle="DICA" prompt="Essa coluna não entra na conta do saldo total de horas livre do mês." sqref="X1" xr:uid="{44898E8B-ADAE-49EE-9C68-078B42D01101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B16996DC-F1D6-45C9-9985-096054F8F4BE}"/>
    <dataValidation allowBlank="1" showInputMessage="1" showErrorMessage="1" promptTitle="DICA" prompt="Coluna de tempos não tratados._x000a_É normal esses valores sumirem quando você os trata nas colunas de tratamento à direita." sqref="P1 T1" xr:uid="{B34808DC-1266-4DDA-903D-A204AA9F8F32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09493390-08C2-4517-8E57-B9A935ECD255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DB66EA6F-F686-4A08-AB5B-89F02FAA1EF7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35D63-1752-499F-AB73-23C99FB7DE02}">
  <sheetPr codeName="BASE6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Domingo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44347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Segunda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44348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Terça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44349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Quarta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44350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Quinta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44351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Sexta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44352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Sábado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44353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Domingo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44354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Segunda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44355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Terça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44356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Quarta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44357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Quinta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44358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Sexta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44359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Sábado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44360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Domingo</v>
      </c>
      <c r="B16" s="34" t="str">
        <f ca="1">IF($C16="",
  "",
  IFERROR(VLOOKUP($C16,Calendario[],2,FALSE),
    IF(WEEKDAY($C16,2)&gt;5,
      FIM_DE_SEMANA,
      DIA_UTIL)))</f>
        <v>FIM DE SEMANA</v>
      </c>
      <c r="C16" s="35">
        <f t="shared" ca="1" si="1"/>
        <v>44361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Segunda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44362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Terça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44363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Quarta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44364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Quinta</v>
      </c>
      <c r="B20" s="34" t="str">
        <f ca="1">IF($C20="",
  "",
  IFERROR(VLOOKUP($C20,Calendario[],2,FALSE),
    IF(WEEKDAY($C20,2)&gt;5,
      FIM_DE_SEMANA,
      DIA_UTIL)))</f>
        <v>FERIADO</v>
      </c>
      <c r="C20" s="35">
        <f t="shared" ca="1" si="1"/>
        <v>44365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>Dia de Corpus Christi - Feriado Municipal</v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Sexta</v>
      </c>
      <c r="B21" s="34" t="str">
        <f ca="1">IF($C21="",
  "",
  IFERROR(VLOOKUP($C21,Calendario[],2,FALSE),
    IF(WEEKDAY($C21,2)&gt;5,
      FIM_DE_SEMANA,
      DIA_UTIL)))</f>
        <v>COMPENSADO</v>
      </c>
      <c r="C21" s="35">
        <f t="shared" ca="1" si="1"/>
        <v>44366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>Dia Compensado Facultativo (Dia Normal)</v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Sábado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44367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Domingo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44368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Segunda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44369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Terça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44370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Quarta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44371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Quinta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44372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Sexta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44373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Sábado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44374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Domingo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44375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Segunda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44376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279" priority="23">
      <formula>$B2=FERIADO</formula>
    </cfRule>
    <cfRule type="expression" dxfId="278" priority="24">
      <formula>$B2=DISPENSADO</formula>
    </cfRule>
    <cfRule type="expression" dxfId="277" priority="25">
      <formula>$B2=FERIAS</formula>
    </cfRule>
    <cfRule type="expression" dxfId="276" priority="26">
      <formula>$B2=MEIO_COMPENSADO</formula>
    </cfRule>
    <cfRule type="expression" dxfId="275" priority="27">
      <formula>$B2=COMPENSADO</formula>
    </cfRule>
    <cfRule type="expression" dxfId="274" priority="28">
      <formula>$B2=EXPEDIENTE_CORRIDO</formula>
    </cfRule>
    <cfRule type="expression" dxfId="273" priority="29">
      <formula>$B2=FIM_DE_SEMANA</formula>
    </cfRule>
    <cfRule type="expression" dxfId="272" priority="30">
      <formula>AND($B2="",ISBLANK($B3))</formula>
    </cfRule>
    <cfRule type="expression" dxfId="271" priority="31">
      <formula>AND($B2="",NOT(ISBLANK($B3)))</formula>
    </cfRule>
  </conditionalFormatting>
  <conditionalFormatting sqref="D2:G32 L2:L32 P2:X32">
    <cfRule type="cellIs" dxfId="270" priority="6" stopIfTrue="1" operator="lessThan">
      <formula>0</formula>
    </cfRule>
  </conditionalFormatting>
  <conditionalFormatting sqref="D2:G32">
    <cfRule type="expression" dxfId="269" priority="3" stopIfTrue="1">
      <formula>AND(NOT(ISBLANK(D2)),$B2=FERIAS)</formula>
    </cfRule>
    <cfRule type="notContainsBlanks" dxfId="268" priority="9">
      <formula>LEN(TRIM(D2))&gt;0</formula>
    </cfRule>
  </conditionalFormatting>
  <conditionalFormatting sqref="E2:F32">
    <cfRule type="expression" dxfId="267" priority="4" stopIfTrue="1">
      <formula>AND(AND(NOT(ISBLANK($E2)),NOT(ISBLANK($F2))),OR($B2=FERIADO,$B2=FIM_DE_SEMANA),($F2-$E2)&lt;TRUNC("1:00",6))</formula>
    </cfRule>
    <cfRule type="expression" dxfId="266" priority="10">
      <formula>AND(NOT(ISBLANK($D2)),NOT(ISBLANK($G2)))</formula>
    </cfRule>
  </conditionalFormatting>
  <conditionalFormatting sqref="H2:K32">
    <cfRule type="expression" dxfId="265" priority="7" stopIfTrue="1">
      <formula>NOT(_xlfn.ISFORMULA(H2))</formula>
    </cfRule>
    <cfRule type="expression" dxfId="264" priority="8" stopIfTrue="1">
      <formula>H2&lt;&gt;D2</formula>
    </cfRule>
  </conditionalFormatting>
  <conditionalFormatting sqref="L2:L32">
    <cfRule type="expression" dxfId="263" priority="17">
      <formula>OR(AND($L2=TIMEVALUE("8:00"),OR($B2=DIA_UTIL,$B2=MEIO_COMPENSADO,$B2=COMPENSADO)),AND($L2&gt;=TIMEVALUE("6:00"),$L2&lt;=TIMEVALUE("8:00"),$B2=EXPEDIENTE_CORRIDO))</formula>
    </cfRule>
    <cfRule type="expression" dxfId="262" priority="18">
      <formula>OR($L2&gt;TIMEVALUE("8:00"),AND($L2&gt;TIMEVALUE("0:00"),OR($B2=FERIADO,$B2=FIM_DE_SEMANA,$B2=DISPENSADO)))</formula>
    </cfRule>
    <cfRule type="expression" dxfId="26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60" priority="32">
      <formula>AND(L2=0,$B2=FERIADO)</formula>
    </cfRule>
    <cfRule type="expression" dxfId="259" priority="33">
      <formula>AND(L2=0,$B2=DISPENSADO)</formula>
    </cfRule>
    <cfRule type="expression" dxfId="258" priority="34">
      <formula>AND(L2=0,$B2=FERIAS)</formula>
    </cfRule>
    <cfRule type="expression" dxfId="257" priority="35">
      <formula>AND(L2=0,$B2=MEIO_COMPENSADO)</formula>
    </cfRule>
    <cfRule type="expression" dxfId="256" priority="36">
      <formula>AND(L2=0,$B2=COMPENSADO)</formula>
    </cfRule>
    <cfRule type="expression" dxfId="255" priority="37">
      <formula>AND(L2=0,$B2=EXPEDIENTE_CORRIDO)</formula>
    </cfRule>
    <cfRule type="expression" dxfId="254" priority="38">
      <formula>AND(L2=0,$B2=FIM_DE_SEMANA)</formula>
    </cfRule>
    <cfRule type="expression" dxfId="253" priority="39">
      <formula>AND(L2=0,$B2=DIA_UTIL)</formula>
    </cfRule>
    <cfRule type="expression" dxfId="252" priority="40">
      <formula>$B2=""</formula>
    </cfRule>
  </conditionalFormatting>
  <conditionalFormatting sqref="M2:O32">
    <cfRule type="cellIs" dxfId="251" priority="11" operator="lessThan">
      <formula>0</formula>
    </cfRule>
    <cfRule type="cellIs" dxfId="250" priority="12" operator="greaterThan">
      <formula>0</formula>
    </cfRule>
  </conditionalFormatting>
  <conditionalFormatting sqref="O2:O32">
    <cfRule type="expression" dxfId="249" priority="5" stopIfTrue="1">
      <formula>IF(OR(TIPO_DE_PONTO="Comercial",$A2="Sexta"),$O2&gt;=TIMEVALUE("0:31"),$O2&gt;=TIMEVALUE("1:01"))</formula>
    </cfRule>
  </conditionalFormatting>
  <conditionalFormatting sqref="P2:P33">
    <cfRule type="cellIs" dxfId="248" priority="13" operator="greaterThan">
      <formula>0</formula>
    </cfRule>
  </conditionalFormatting>
  <conditionalFormatting sqref="Q36 W37">
    <cfRule type="cellIs" dxfId="247" priority="21" operator="greaterThanOrEqual">
      <formula>0</formula>
    </cfRule>
    <cfRule type="cellIs" dxfId="246" priority="22" operator="lessThan">
      <formula>0</formula>
    </cfRule>
  </conditionalFormatting>
  <conditionalFormatting sqref="Q2:S33">
    <cfRule type="cellIs" dxfId="245" priority="14" operator="greaterThan">
      <formula>0</formula>
    </cfRule>
  </conditionalFormatting>
  <conditionalFormatting sqref="S40">
    <cfRule type="cellIs" dxfId="244" priority="1" operator="lessThan">
      <formula>0</formula>
    </cfRule>
    <cfRule type="cellIs" dxfId="243" priority="2" operator="greaterThan">
      <formula>0</formula>
    </cfRule>
  </conditionalFormatting>
  <conditionalFormatting sqref="T2:T33">
    <cfRule type="cellIs" dxfId="242" priority="15" operator="greaterThan">
      <formula>0</formula>
    </cfRule>
  </conditionalFormatting>
  <conditionalFormatting sqref="U2:X32 U33 W33:X33">
    <cfRule type="cellIs" dxfId="241" priority="16" operator="greaterThan">
      <formula>0</formula>
    </cfRule>
  </conditionalFormatting>
  <conditionalFormatting sqref="V33">
    <cfRule type="cellIs" dxfId="24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880139B5-7404-4D4A-86BD-91EC401CBEE0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5195C348-064F-43D6-ABE1-9CB7D30BB6CC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12A829EC-B386-4F16-BABB-697C1FAF0C5C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0D3ED141-9D75-4509-988C-91EA1B2522A9}"/>
    <dataValidation allowBlank="1" showInputMessage="1" showErrorMessage="1" promptTitle="DICA" prompt="Essa coluna não entra na conta do saldo total de horas livre do mês." sqref="X1" xr:uid="{C4D5E91F-0117-4312-B8CF-0850D80743DA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42A9654B-EB90-421B-B010-848702546218}"/>
    <dataValidation allowBlank="1" showInputMessage="1" showErrorMessage="1" promptTitle="DICA" prompt="Coluna de tempos não tratados._x000a_É normal esses valores sumirem quando você os trata nas colunas de tratamento à direita." sqref="P1 T1" xr:uid="{F0770366-AB42-4EF0-81CA-3EF2FFFAEB03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05B48BD9-656C-494D-B41C-1398EC895E2C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3E8376D5-6E2D-45A1-B528-AC1657537614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4687A-6006-4267-9793-F4A886269658}">
  <sheetPr codeName="BASE7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Terça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44377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Quarta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44378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Quinta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44379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Sexta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44380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Sábado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44381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Domingo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44382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Segunda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44383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Terça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44384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Quarta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44385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Quinta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44386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Sexta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44387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Sábado</v>
      </c>
      <c r="B13" s="34" t="str">
        <f ca="1">IF($C13="",
  "",
  IFERROR(VLOOKUP($C13,Calendario[],2,FALSE),
    IF(WEEKDAY($C13,2)&gt;5,
      FIM_DE_SEMANA,
      DIA_UTIL)))</f>
        <v>FIM DE SEMANA</v>
      </c>
      <c r="C13" s="35">
        <f t="shared" ca="1" si="1"/>
        <v>44388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Domingo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44389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Segunda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44390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Terça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44391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Quarta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44392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Quinta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44393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Sexta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44394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Sábado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44395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Domingo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44396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Segunda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44397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Terça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44398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Quarta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44399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Quinta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44400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Sexta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44401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Sábado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44402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Domingo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44403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Segunda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44404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Terça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44405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Quarta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44406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Quinta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44407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239" priority="23">
      <formula>$B2=FERIADO</formula>
    </cfRule>
    <cfRule type="expression" dxfId="238" priority="24">
      <formula>$B2=DISPENSADO</formula>
    </cfRule>
    <cfRule type="expression" dxfId="237" priority="25">
      <formula>$B2=FERIAS</formula>
    </cfRule>
    <cfRule type="expression" dxfId="236" priority="26">
      <formula>$B2=MEIO_COMPENSADO</formula>
    </cfRule>
    <cfRule type="expression" dxfId="235" priority="27">
      <formula>$B2=COMPENSADO</formula>
    </cfRule>
    <cfRule type="expression" dxfId="234" priority="28">
      <formula>$B2=EXPEDIENTE_CORRIDO</formula>
    </cfRule>
    <cfRule type="expression" dxfId="233" priority="29">
      <formula>$B2=FIM_DE_SEMANA</formula>
    </cfRule>
    <cfRule type="expression" dxfId="232" priority="30">
      <formula>AND($B2="",ISBLANK($B3))</formula>
    </cfRule>
    <cfRule type="expression" dxfId="231" priority="31">
      <formula>AND($B2="",NOT(ISBLANK($B3)))</formula>
    </cfRule>
  </conditionalFormatting>
  <conditionalFormatting sqref="D2:G32 L2:L32 P2:X32">
    <cfRule type="cellIs" dxfId="230" priority="6" stopIfTrue="1" operator="lessThan">
      <formula>0</formula>
    </cfRule>
  </conditionalFormatting>
  <conditionalFormatting sqref="D2:G32">
    <cfRule type="expression" dxfId="229" priority="3" stopIfTrue="1">
      <formula>AND(NOT(ISBLANK(D2)),$B2=FERIAS)</formula>
    </cfRule>
    <cfRule type="notContainsBlanks" dxfId="228" priority="9">
      <formula>LEN(TRIM(D2))&gt;0</formula>
    </cfRule>
  </conditionalFormatting>
  <conditionalFormatting sqref="E2:F32">
    <cfRule type="expression" dxfId="227" priority="4" stopIfTrue="1">
      <formula>AND(AND(NOT(ISBLANK($E2)),NOT(ISBLANK($F2))),OR($B2=FERIADO,$B2=FIM_DE_SEMANA),($F2-$E2)&lt;TRUNC("1:00",6))</formula>
    </cfRule>
    <cfRule type="expression" dxfId="226" priority="10">
      <formula>AND(NOT(ISBLANK($D2)),NOT(ISBLANK($G2)))</formula>
    </cfRule>
  </conditionalFormatting>
  <conditionalFormatting sqref="H2:K32">
    <cfRule type="expression" dxfId="225" priority="7" stopIfTrue="1">
      <formula>NOT(_xlfn.ISFORMULA(H2))</formula>
    </cfRule>
    <cfRule type="expression" dxfId="224" priority="8" stopIfTrue="1">
      <formula>H2&lt;&gt;D2</formula>
    </cfRule>
  </conditionalFormatting>
  <conditionalFormatting sqref="L2:L32">
    <cfRule type="expression" dxfId="223" priority="17">
      <formula>OR(AND($L2=TIMEVALUE("8:00"),OR($B2=DIA_UTIL,$B2=MEIO_COMPENSADO,$B2=COMPENSADO)),AND($L2&gt;=TIMEVALUE("6:00"),$L2&lt;=TIMEVALUE("8:00"),$B2=EXPEDIENTE_CORRIDO))</formula>
    </cfRule>
    <cfRule type="expression" dxfId="222" priority="18">
      <formula>OR($L2&gt;TIMEVALUE("8:00"),AND($L2&gt;TIMEVALUE("0:00"),OR($B2=FERIADO,$B2=FIM_DE_SEMANA,$B2=DISPENSADO)))</formula>
    </cfRule>
    <cfRule type="expression" dxfId="22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20" priority="32">
      <formula>AND(L2=0,$B2=FERIADO)</formula>
    </cfRule>
    <cfRule type="expression" dxfId="219" priority="33">
      <formula>AND(L2=0,$B2=DISPENSADO)</formula>
    </cfRule>
    <cfRule type="expression" dxfId="218" priority="34">
      <formula>AND(L2=0,$B2=FERIAS)</formula>
    </cfRule>
    <cfRule type="expression" dxfId="217" priority="35">
      <formula>AND(L2=0,$B2=MEIO_COMPENSADO)</formula>
    </cfRule>
    <cfRule type="expression" dxfId="216" priority="36">
      <formula>AND(L2=0,$B2=COMPENSADO)</formula>
    </cfRule>
    <cfRule type="expression" dxfId="215" priority="37">
      <formula>AND(L2=0,$B2=EXPEDIENTE_CORRIDO)</formula>
    </cfRule>
    <cfRule type="expression" dxfId="214" priority="38">
      <formula>AND(L2=0,$B2=FIM_DE_SEMANA)</formula>
    </cfRule>
    <cfRule type="expression" dxfId="213" priority="39">
      <formula>AND(L2=0,$B2=DIA_UTIL)</formula>
    </cfRule>
    <cfRule type="expression" dxfId="212" priority="40">
      <formula>$B2=""</formula>
    </cfRule>
  </conditionalFormatting>
  <conditionalFormatting sqref="M2:O32">
    <cfRule type="cellIs" dxfId="211" priority="11" operator="lessThan">
      <formula>0</formula>
    </cfRule>
    <cfRule type="cellIs" dxfId="210" priority="12" operator="greaterThan">
      <formula>0</formula>
    </cfRule>
  </conditionalFormatting>
  <conditionalFormatting sqref="O2:O32">
    <cfRule type="expression" dxfId="209" priority="5" stopIfTrue="1">
      <formula>IF(OR(TIPO_DE_PONTO="Comercial",$A2="Sexta"),$O2&gt;=TIMEVALUE("0:31"),$O2&gt;=TIMEVALUE("1:01"))</formula>
    </cfRule>
  </conditionalFormatting>
  <conditionalFormatting sqref="P2:P33">
    <cfRule type="cellIs" dxfId="208" priority="13" operator="greaterThan">
      <formula>0</formula>
    </cfRule>
  </conditionalFormatting>
  <conditionalFormatting sqref="Q36 W37">
    <cfRule type="cellIs" dxfId="207" priority="21" operator="greaterThanOrEqual">
      <formula>0</formula>
    </cfRule>
    <cfRule type="cellIs" dxfId="206" priority="22" operator="lessThan">
      <formula>0</formula>
    </cfRule>
  </conditionalFormatting>
  <conditionalFormatting sqref="Q2:S33">
    <cfRule type="cellIs" dxfId="205" priority="14" operator="greaterThan">
      <formula>0</formula>
    </cfRule>
  </conditionalFormatting>
  <conditionalFormatting sqref="S40">
    <cfRule type="cellIs" dxfId="204" priority="1" operator="lessThan">
      <formula>0</formula>
    </cfRule>
    <cfRule type="cellIs" dxfId="203" priority="2" operator="greaterThan">
      <formula>0</formula>
    </cfRule>
  </conditionalFormatting>
  <conditionalFormatting sqref="T2:T33">
    <cfRule type="cellIs" dxfId="202" priority="15" operator="greaterThan">
      <formula>0</formula>
    </cfRule>
  </conditionalFormatting>
  <conditionalFormatting sqref="U2:X32 U33 W33:X33">
    <cfRule type="cellIs" dxfId="201" priority="16" operator="greaterThan">
      <formula>0</formula>
    </cfRule>
  </conditionalFormatting>
  <conditionalFormatting sqref="V33">
    <cfRule type="cellIs" dxfId="20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FBB892BC-0A87-4E81-BEE0-5609A34639DC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E1482BA9-3547-44BA-9434-75E87D4174C7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69EE049B-E7ED-48E0-A9AE-3FF7C709B232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243340F4-5323-40C3-A6B6-C99C10CFF3BB}"/>
    <dataValidation allowBlank="1" showInputMessage="1" showErrorMessage="1" promptTitle="DICA" prompt="Essa coluna não entra na conta do saldo total de horas livre do mês." sqref="X1" xr:uid="{5ECFB7ED-BA08-4B0F-99A1-3E710231403F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2B0C15ED-9A95-4CA7-BD00-1789E50E8147}"/>
    <dataValidation allowBlank="1" showInputMessage="1" showErrorMessage="1" promptTitle="DICA" prompt="Coluna de tempos não tratados._x000a_É normal esses valores sumirem quando você os trata nas colunas de tratamento à direita." sqref="P1 T1" xr:uid="{1E95CF7E-2DE7-489A-B741-80267DBD5C4C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1950530B-BE34-47C6-9A14-EF8C213E5E85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78D896B7-76DC-4459-84CF-83BD584D497F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FF4B5-C251-41B2-801F-12E2B7322828}">
  <sheetPr codeName="BASE8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Sexta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44408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Sábado</v>
      </c>
      <c r="B3" s="34" t="str">
        <f ca="1">IF($C3="",
  "",
  IFERROR(VLOOKUP($C3,Calendario[],2,FALSE),
    IF(WEEKDAY($C3,2)&gt;5,
      FIM_DE_SEMANA,
      DIA_UTIL)))</f>
        <v>FIM DE SEMANA</v>
      </c>
      <c r="C3" s="35">
        <f ca="1">IF($C2="",
  "",
  IF(MONTH($C2+1)=MONTH($C2),
    $C2+1,
    ""))</f>
        <v>44409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Domingo</v>
      </c>
      <c r="B4" s="34" t="str">
        <f ca="1">IF($C4="",
  "",
  IFERROR(VLOOKUP($C4,Calendario[],2,FALSE),
    IF(WEEKDAY($C4,2)&gt;5,
      FIM_DE_SEMANA,
      DIA_UTIL)))</f>
        <v>FIM DE SEMANA</v>
      </c>
      <c r="C4" s="35">
        <f t="shared" ref="C4:C32" ca="1" si="1">IF($C3="",
  "",
  IF(MONTH($C3+1)=MONTH($C3),
    $C3+1,
    ""))</f>
        <v>44410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Segunda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44411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Terça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44412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Quarta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44413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Quinta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44414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Sexta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44415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Sábado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44416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Domingo</v>
      </c>
      <c r="B11" s="34" t="str">
        <f ca="1">IF($C11="",
  "",
  IFERROR(VLOOKUP($C11,Calendario[],2,FALSE),
    IF(WEEKDAY($C11,2)&gt;5,
      FIM_DE_SEMANA,
      DIA_UTIL)))</f>
        <v>FIM DE SEMANA</v>
      </c>
      <c r="C11" s="35">
        <f t="shared" ca="1" si="1"/>
        <v>44417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Segunda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44418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Terça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44419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Quarta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44420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Quinta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44421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Sexta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44422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Sábado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44423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Domingo</v>
      </c>
      <c r="B18" s="34" t="str">
        <f ca="1">IF($C18="",
  "",
  IFERROR(VLOOKUP($C18,Calendario[],2,FALSE),
    IF(WEEKDAY($C18,2)&gt;5,
      FIM_DE_SEMANA,
      DIA_UTIL)))</f>
        <v>FIM DE SEMANA</v>
      </c>
      <c r="C18" s="35">
        <f t="shared" ca="1" si="1"/>
        <v>44424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Segunda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44425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Terça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44426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Quarta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44427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Quinta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44428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Sexta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44429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Sábado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44430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Domingo</v>
      </c>
      <c r="B25" s="34" t="str">
        <f ca="1">IF($C25="",
  "",
  IFERROR(VLOOKUP($C25,Calendario[],2,FALSE),
    IF(WEEKDAY($C25,2)&gt;5,
      FIM_DE_SEMANA,
      DIA_UTIL)))</f>
        <v>FIM DE SEMANA</v>
      </c>
      <c r="C25" s="35">
        <f t="shared" ca="1" si="1"/>
        <v>44431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Segunda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44432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Terça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44433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Quarta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44434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Quinta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44435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Sexta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44436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Sábado</v>
      </c>
      <c r="B31" s="34" t="str">
        <f ca="1">IF($C31="",
  "",
  IFERROR(VLOOKUP($C31,Calendario[],2,FALSE),
    IF(WEEKDAY($C31,2)&gt;5,
      FIM_DE_SEMANA,
      DIA_UTIL)))</f>
        <v>FIM DE SEMANA</v>
      </c>
      <c r="C31" s="35">
        <f t="shared" ca="1" si="1"/>
        <v>44437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Domingo</v>
      </c>
      <c r="B32" s="145" t="str">
        <f ca="1">IF($C32="",
  "",
  IFERROR(VLOOKUP($C32,Calendario[],2,FALSE),
    IF(WEEKDAY($C32,2)&gt;5,
      FIM_DE_SEMANA,
      DIA_UTIL)))</f>
        <v>FIM DE SEMANA</v>
      </c>
      <c r="C32" s="35">
        <f t="shared" ca="1" si="1"/>
        <v>44438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199" priority="23">
      <formula>$B2=FERIADO</formula>
    </cfRule>
    <cfRule type="expression" dxfId="198" priority="24">
      <formula>$B2=DISPENSADO</formula>
    </cfRule>
    <cfRule type="expression" dxfId="197" priority="25">
      <formula>$B2=FERIAS</formula>
    </cfRule>
    <cfRule type="expression" dxfId="196" priority="26">
      <formula>$B2=MEIO_COMPENSADO</formula>
    </cfRule>
    <cfRule type="expression" dxfId="195" priority="27">
      <formula>$B2=COMPENSADO</formula>
    </cfRule>
    <cfRule type="expression" dxfId="194" priority="28">
      <formula>$B2=EXPEDIENTE_CORRIDO</formula>
    </cfRule>
    <cfRule type="expression" dxfId="193" priority="29">
      <formula>$B2=FIM_DE_SEMANA</formula>
    </cfRule>
    <cfRule type="expression" dxfId="192" priority="30">
      <formula>AND($B2="",ISBLANK($B3))</formula>
    </cfRule>
    <cfRule type="expression" dxfId="191" priority="31">
      <formula>AND($B2="",NOT(ISBLANK($B3)))</formula>
    </cfRule>
  </conditionalFormatting>
  <conditionalFormatting sqref="D2:G32 L2:L32 P2:X32">
    <cfRule type="cellIs" dxfId="190" priority="6" stopIfTrue="1" operator="lessThan">
      <formula>0</formula>
    </cfRule>
  </conditionalFormatting>
  <conditionalFormatting sqref="D2:G32">
    <cfRule type="expression" dxfId="189" priority="3" stopIfTrue="1">
      <formula>AND(NOT(ISBLANK(D2)),$B2=FERIAS)</formula>
    </cfRule>
    <cfRule type="notContainsBlanks" dxfId="188" priority="9">
      <formula>LEN(TRIM(D2))&gt;0</formula>
    </cfRule>
  </conditionalFormatting>
  <conditionalFormatting sqref="E2:F32">
    <cfRule type="expression" dxfId="187" priority="4" stopIfTrue="1">
      <formula>AND(AND(NOT(ISBLANK($E2)),NOT(ISBLANK($F2))),OR($B2=FERIADO,$B2=FIM_DE_SEMANA),($F2-$E2)&lt;TRUNC("1:00",6))</formula>
    </cfRule>
    <cfRule type="expression" dxfId="186" priority="10">
      <formula>AND(NOT(ISBLANK($D2)),NOT(ISBLANK($G2)))</formula>
    </cfRule>
  </conditionalFormatting>
  <conditionalFormatting sqref="H2:K32">
    <cfRule type="expression" dxfId="185" priority="7" stopIfTrue="1">
      <formula>NOT(_xlfn.ISFORMULA(H2))</formula>
    </cfRule>
    <cfRule type="expression" dxfId="184" priority="8" stopIfTrue="1">
      <formula>H2&lt;&gt;D2</formula>
    </cfRule>
  </conditionalFormatting>
  <conditionalFormatting sqref="L2:L32">
    <cfRule type="expression" dxfId="183" priority="17">
      <formula>OR(AND($L2=TIMEVALUE("8:00"),OR($B2=DIA_UTIL,$B2=MEIO_COMPENSADO,$B2=COMPENSADO)),AND($L2&gt;=TIMEVALUE("6:00"),$L2&lt;=TIMEVALUE("8:00"),$B2=EXPEDIENTE_CORRIDO))</formula>
    </cfRule>
    <cfRule type="expression" dxfId="182" priority="18">
      <formula>OR($L2&gt;TIMEVALUE("8:00"),AND($L2&gt;TIMEVALUE("0:00"),OR($B2=FERIADO,$B2=FIM_DE_SEMANA,$B2=DISPENSADO)))</formula>
    </cfRule>
    <cfRule type="expression" dxfId="18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80" priority="32">
      <formula>AND(L2=0,$B2=FERIADO)</formula>
    </cfRule>
    <cfRule type="expression" dxfId="179" priority="33">
      <formula>AND(L2=0,$B2=DISPENSADO)</formula>
    </cfRule>
    <cfRule type="expression" dxfId="178" priority="34">
      <formula>AND(L2=0,$B2=FERIAS)</formula>
    </cfRule>
    <cfRule type="expression" dxfId="177" priority="35">
      <formula>AND(L2=0,$B2=MEIO_COMPENSADO)</formula>
    </cfRule>
    <cfRule type="expression" dxfId="176" priority="36">
      <formula>AND(L2=0,$B2=COMPENSADO)</formula>
    </cfRule>
    <cfRule type="expression" dxfId="175" priority="37">
      <formula>AND(L2=0,$B2=EXPEDIENTE_CORRIDO)</formula>
    </cfRule>
    <cfRule type="expression" dxfId="174" priority="38">
      <formula>AND(L2=0,$B2=FIM_DE_SEMANA)</formula>
    </cfRule>
    <cfRule type="expression" dxfId="173" priority="39">
      <formula>AND(L2=0,$B2=DIA_UTIL)</formula>
    </cfRule>
    <cfRule type="expression" dxfId="172" priority="40">
      <formula>$B2=""</formula>
    </cfRule>
  </conditionalFormatting>
  <conditionalFormatting sqref="M2:O32">
    <cfRule type="cellIs" dxfId="171" priority="11" operator="lessThan">
      <formula>0</formula>
    </cfRule>
    <cfRule type="cellIs" dxfId="170" priority="12" operator="greaterThan">
      <formula>0</formula>
    </cfRule>
  </conditionalFormatting>
  <conditionalFormatting sqref="O2:O32">
    <cfRule type="expression" dxfId="169" priority="5" stopIfTrue="1">
      <formula>IF(OR(TIPO_DE_PONTO="Comercial",$A2="Sexta"),$O2&gt;=TIMEVALUE("0:31"),$O2&gt;=TIMEVALUE("1:01"))</formula>
    </cfRule>
  </conditionalFormatting>
  <conditionalFormatting sqref="P2:P33">
    <cfRule type="cellIs" dxfId="168" priority="13" operator="greaterThan">
      <formula>0</formula>
    </cfRule>
  </conditionalFormatting>
  <conditionalFormatting sqref="Q36 W37">
    <cfRule type="cellIs" dxfId="167" priority="21" operator="greaterThanOrEqual">
      <formula>0</formula>
    </cfRule>
    <cfRule type="cellIs" dxfId="166" priority="22" operator="lessThan">
      <formula>0</formula>
    </cfRule>
  </conditionalFormatting>
  <conditionalFormatting sqref="Q2:S33">
    <cfRule type="cellIs" dxfId="165" priority="14" operator="greaterThan">
      <formula>0</formula>
    </cfRule>
  </conditionalFormatting>
  <conditionalFormatting sqref="S40">
    <cfRule type="cellIs" dxfId="164" priority="1" operator="lessThan">
      <formula>0</formula>
    </cfRule>
    <cfRule type="cellIs" dxfId="163" priority="2" operator="greaterThan">
      <formula>0</formula>
    </cfRule>
  </conditionalFormatting>
  <conditionalFormatting sqref="T2:T33">
    <cfRule type="cellIs" dxfId="162" priority="15" operator="greaterThan">
      <formula>0</formula>
    </cfRule>
  </conditionalFormatting>
  <conditionalFormatting sqref="U2:X32 U33 W33:X33">
    <cfRule type="cellIs" dxfId="161" priority="16" operator="greaterThan">
      <formula>0</formula>
    </cfRule>
  </conditionalFormatting>
  <conditionalFormatting sqref="V33">
    <cfRule type="cellIs" dxfId="16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E138BC85-B0E1-4E35-9948-20BF5DDECCD9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63AA179D-EEA9-4EDA-98C6-3535E98FD283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3DE381DA-813F-4404-BB7A-CCE58974D24F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916794A6-4978-4904-B122-E9CBAB4F47C9}"/>
    <dataValidation allowBlank="1" showInputMessage="1" showErrorMessage="1" promptTitle="DICA" prompt="Essa coluna não entra na conta do saldo total de horas livre do mês." sqref="X1" xr:uid="{988B0CF1-44B9-4036-904F-8CA7430AA47B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3C10044E-8AFA-4E55-8F4E-65661AF96C98}"/>
    <dataValidation allowBlank="1" showInputMessage="1" showErrorMessage="1" promptTitle="DICA" prompt="Coluna de tempos não tratados._x000a_É normal esses valores sumirem quando você os trata nas colunas de tratamento à direita." sqref="P1 T1" xr:uid="{BD2C59FF-D560-4F14-8017-AE41D982F4FC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5EC740A4-BD34-45BD-80C4-7A6AF5022647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CF4CFAAD-CB16-4FD5-BE8B-A1245FB9D684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2737A-1033-4B3E-84DD-46D3B228F962}">
  <sheetPr codeName="BASE9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Segunda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44439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Terça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44440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Quarta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44441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Quinta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44442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Sexta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44443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Sábado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44444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Domingo</v>
      </c>
      <c r="B8" s="34" t="str">
        <f ca="1">IF($C8="",
  "",
  IFERROR(VLOOKUP($C8,Calendario[],2,FALSE),
    IF(WEEKDAY($C8,2)&gt;5,
      FIM_DE_SEMANA,
      DIA_UTIL)))</f>
        <v>FERIADO</v>
      </c>
      <c r="C8" s="35">
        <f t="shared" ca="1" si="1"/>
        <v>44445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>Independência do Brasil - Feriado Nacional</v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Segunda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44446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Terça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44447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Quarta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44448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Quinta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44449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Sexta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44450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Sábado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44451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Domingo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44452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Segunda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44453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Terça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44454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Quarta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44455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Quinta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44456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Sexta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44457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Sábado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44458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Domingo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44459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Segunda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44460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Terça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44461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Quarta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44462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Quinta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44463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Sexta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44464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Sábado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44465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Domingo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44466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Segunda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44467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Terça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44468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159" priority="23">
      <formula>$B2=FERIADO</formula>
    </cfRule>
    <cfRule type="expression" dxfId="158" priority="24">
      <formula>$B2=DISPENSADO</formula>
    </cfRule>
    <cfRule type="expression" dxfId="157" priority="25">
      <formula>$B2=FERIAS</formula>
    </cfRule>
    <cfRule type="expression" dxfId="156" priority="26">
      <formula>$B2=MEIO_COMPENSADO</formula>
    </cfRule>
    <cfRule type="expression" dxfId="155" priority="27">
      <formula>$B2=COMPENSADO</formula>
    </cfRule>
    <cfRule type="expression" dxfId="154" priority="28">
      <formula>$B2=EXPEDIENTE_CORRIDO</formula>
    </cfRule>
    <cfRule type="expression" dxfId="153" priority="29">
      <formula>$B2=FIM_DE_SEMANA</formula>
    </cfRule>
    <cfRule type="expression" dxfId="152" priority="30">
      <formula>AND($B2="",ISBLANK($B3))</formula>
    </cfRule>
    <cfRule type="expression" dxfId="151" priority="31">
      <formula>AND($B2="",NOT(ISBLANK($B3)))</formula>
    </cfRule>
  </conditionalFormatting>
  <conditionalFormatting sqref="D2:G32 L2:L32 P2:X32">
    <cfRule type="cellIs" dxfId="150" priority="6" stopIfTrue="1" operator="lessThan">
      <formula>0</formula>
    </cfRule>
  </conditionalFormatting>
  <conditionalFormatting sqref="D2:G32">
    <cfRule type="expression" dxfId="149" priority="3" stopIfTrue="1">
      <formula>AND(NOT(ISBLANK(D2)),$B2=FERIAS)</formula>
    </cfRule>
    <cfRule type="notContainsBlanks" dxfId="148" priority="9">
      <formula>LEN(TRIM(D2))&gt;0</formula>
    </cfRule>
  </conditionalFormatting>
  <conditionalFormatting sqref="E2:F32">
    <cfRule type="expression" dxfId="147" priority="4" stopIfTrue="1">
      <formula>AND(AND(NOT(ISBLANK($E2)),NOT(ISBLANK($F2))),OR($B2=FERIADO,$B2=FIM_DE_SEMANA),($F2-$E2)&lt;TRUNC("1:00",6))</formula>
    </cfRule>
    <cfRule type="expression" dxfId="146" priority="10">
      <formula>AND(NOT(ISBLANK($D2)),NOT(ISBLANK($G2)))</formula>
    </cfRule>
  </conditionalFormatting>
  <conditionalFormatting sqref="H2:K32">
    <cfRule type="expression" dxfId="145" priority="7" stopIfTrue="1">
      <formula>NOT(_xlfn.ISFORMULA(H2))</formula>
    </cfRule>
    <cfRule type="expression" dxfId="144" priority="8" stopIfTrue="1">
      <formula>H2&lt;&gt;D2</formula>
    </cfRule>
  </conditionalFormatting>
  <conditionalFormatting sqref="L2:L32">
    <cfRule type="expression" dxfId="143" priority="17">
      <formula>OR(AND($L2=TIMEVALUE("8:00"),OR($B2=DIA_UTIL,$B2=MEIO_COMPENSADO,$B2=COMPENSADO)),AND($L2&gt;=TIMEVALUE("6:00"),$L2&lt;=TIMEVALUE("8:00"),$B2=EXPEDIENTE_CORRIDO))</formula>
    </cfRule>
    <cfRule type="expression" dxfId="142" priority="18">
      <formula>OR($L2&gt;TIMEVALUE("8:00"),AND($L2&gt;TIMEVALUE("0:00"),OR($B2=FERIADO,$B2=FIM_DE_SEMANA,$B2=DISPENSADO)))</formula>
    </cfRule>
    <cfRule type="expression" dxfId="14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40" priority="32">
      <formula>AND(L2=0,$B2=FERIADO)</formula>
    </cfRule>
    <cfRule type="expression" dxfId="139" priority="33">
      <formula>AND(L2=0,$B2=DISPENSADO)</formula>
    </cfRule>
    <cfRule type="expression" dxfId="138" priority="34">
      <formula>AND(L2=0,$B2=FERIAS)</formula>
    </cfRule>
    <cfRule type="expression" dxfId="137" priority="35">
      <formula>AND(L2=0,$B2=MEIO_COMPENSADO)</formula>
    </cfRule>
    <cfRule type="expression" dxfId="136" priority="36">
      <formula>AND(L2=0,$B2=COMPENSADO)</formula>
    </cfRule>
    <cfRule type="expression" dxfId="135" priority="37">
      <formula>AND(L2=0,$B2=EXPEDIENTE_CORRIDO)</formula>
    </cfRule>
    <cfRule type="expression" dxfId="134" priority="38">
      <formula>AND(L2=0,$B2=FIM_DE_SEMANA)</formula>
    </cfRule>
    <cfRule type="expression" dxfId="133" priority="39">
      <formula>AND(L2=0,$B2=DIA_UTIL)</formula>
    </cfRule>
    <cfRule type="expression" dxfId="132" priority="40">
      <formula>$B2=""</formula>
    </cfRule>
  </conditionalFormatting>
  <conditionalFormatting sqref="M2:O32">
    <cfRule type="cellIs" dxfId="131" priority="11" operator="lessThan">
      <formula>0</formula>
    </cfRule>
    <cfRule type="cellIs" dxfId="130" priority="12" operator="greaterThan">
      <formula>0</formula>
    </cfRule>
  </conditionalFormatting>
  <conditionalFormatting sqref="O2:O32">
    <cfRule type="expression" dxfId="129" priority="5" stopIfTrue="1">
      <formula>IF(OR(TIPO_DE_PONTO="Comercial",$A2="Sexta"),$O2&gt;=TIMEVALUE("0:31"),$O2&gt;=TIMEVALUE("1:01"))</formula>
    </cfRule>
  </conditionalFormatting>
  <conditionalFormatting sqref="P2:P33">
    <cfRule type="cellIs" dxfId="128" priority="13" operator="greaterThan">
      <formula>0</formula>
    </cfRule>
  </conditionalFormatting>
  <conditionalFormatting sqref="Q36 W37">
    <cfRule type="cellIs" dxfId="127" priority="21" operator="greaterThanOrEqual">
      <formula>0</formula>
    </cfRule>
    <cfRule type="cellIs" dxfId="126" priority="22" operator="lessThan">
      <formula>0</formula>
    </cfRule>
  </conditionalFormatting>
  <conditionalFormatting sqref="Q2:S33">
    <cfRule type="cellIs" dxfId="125" priority="14" operator="greaterThan">
      <formula>0</formula>
    </cfRule>
  </conditionalFormatting>
  <conditionalFormatting sqref="S40">
    <cfRule type="cellIs" dxfId="124" priority="1" operator="lessThan">
      <formula>0</formula>
    </cfRule>
    <cfRule type="cellIs" dxfId="123" priority="2" operator="greaterThan">
      <formula>0</formula>
    </cfRule>
  </conditionalFormatting>
  <conditionalFormatting sqref="T2:T33">
    <cfRule type="cellIs" dxfId="122" priority="15" operator="greaterThan">
      <formula>0</formula>
    </cfRule>
  </conditionalFormatting>
  <conditionalFormatting sqref="U2:X32 U33 W33:X33">
    <cfRule type="cellIs" dxfId="121" priority="16" operator="greaterThan">
      <formula>0</formula>
    </cfRule>
  </conditionalFormatting>
  <conditionalFormatting sqref="V33">
    <cfRule type="cellIs" dxfId="12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7639F297-25B5-449D-BF40-63AA93607A80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36454529-42CC-4464-A40F-DD83FB5A7CF1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7269DB95-9934-4151-B38F-C3BE8523B559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60C722A9-1C8E-4169-BF9B-DDE00110E9F9}"/>
    <dataValidation allowBlank="1" showInputMessage="1" showErrorMessage="1" promptTitle="DICA" prompt="Essa coluna não entra na conta do saldo total de horas livre do mês." sqref="X1" xr:uid="{BDF1F653-DE8A-4EC5-81CA-B188E92BDA2D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EADDA2D2-FEBA-469F-A70C-803289D8B7D0}"/>
    <dataValidation allowBlank="1" showInputMessage="1" showErrorMessage="1" promptTitle="DICA" prompt="Coluna de tempos não tratados._x000a_É normal esses valores sumirem quando você os trata nas colunas de tratamento à direita." sqref="P1 T1" xr:uid="{46A9A405-E67F-4EB6-8C96-8D0A5AF8DD19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70C5650F-AE40-4C21-B4BB-08D0E36334EF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4BBFA9C0-331A-42BB-9275-38DF3EDC1409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C8C51-569A-4BD7-B9FF-5B556DD0D67A}">
  <sheetPr codeName="BASE10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Quarta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44469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Quinta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44470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Sexta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44471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Sábado</v>
      </c>
      <c r="B5" s="34" t="str">
        <f ca="1">IF($C5="",
  "",
  IFERROR(VLOOKUP($C5,Calendario[],2,FALSE),
    IF(WEEKDAY($C5,2)&gt;5,
      FIM_DE_SEMANA,
      DIA_UTIL)))</f>
        <v>FIM DE SEMANA</v>
      </c>
      <c r="C5" s="35">
        <f t="shared" ca="1" si="1"/>
        <v>44472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Domingo</v>
      </c>
      <c r="B6" s="34" t="str">
        <f ca="1">IF($C6="",
  "",
  IFERROR(VLOOKUP($C6,Calendario[],2,FALSE),
    IF(WEEKDAY($C6,2)&gt;5,
      FIM_DE_SEMANA,
      DIA_UTIL)))</f>
        <v>FIM DE SEMANA</v>
      </c>
      <c r="C6" s="35">
        <f t="shared" ca="1" si="1"/>
        <v>44473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Segunda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44474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Terça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44475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Quarta</v>
      </c>
      <c r="B9" s="34" t="str">
        <f ca="1">IF($C9="",
  "",
  IFERROR(VLOOKUP($C9,Calendario[],2,FALSE),
    IF(WEEKDAY($C9,2)&gt;5,
      FIM_DE_SEMANA,
      DIA_UTIL)))</f>
        <v>DIA ÚTIL</v>
      </c>
      <c r="C9" s="35">
        <f t="shared" ca="1" si="1"/>
        <v>44476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Quinta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44477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Sexta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44478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Sábado</v>
      </c>
      <c r="B12" s="34" t="str">
        <f ca="1">IF($C12="",
  "",
  IFERROR(VLOOKUP($C12,Calendario[],2,FALSE),
    IF(WEEKDAY($C12,2)&gt;5,
      FIM_DE_SEMANA,
      DIA_UTIL)))</f>
        <v>FIM DE SEMANA</v>
      </c>
      <c r="C12" s="35">
        <f t="shared" ca="1" si="1"/>
        <v>44479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Domingo</v>
      </c>
      <c r="B13" s="34" t="str">
        <f ca="1">IF($C13="",
  "",
  IFERROR(VLOOKUP($C13,Calendario[],2,FALSE),
    IF(WEEKDAY($C13,2)&gt;5,
      FIM_DE_SEMANA,
      DIA_UTIL)))</f>
        <v>FERIADO</v>
      </c>
      <c r="C13" s="35">
        <f t="shared" ca="1" si="1"/>
        <v>44480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>Nossa Senhora Aparecida - Feriado Nacional</v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Segunda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44481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Terça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44482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Quarta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44483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Quinta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44484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Sexta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44485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Sábado</v>
      </c>
      <c r="B19" s="34" t="str">
        <f ca="1">IF($C19="",
  "",
  IFERROR(VLOOKUP($C19,Calendario[],2,FALSE),
    IF(WEEKDAY($C19,2)&gt;5,
      FIM_DE_SEMANA,
      DIA_UTIL)))</f>
        <v>FIM DE SEMANA</v>
      </c>
      <c r="C19" s="35">
        <f t="shared" ca="1" si="1"/>
        <v>44486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Domingo</v>
      </c>
      <c r="B20" s="34" t="str">
        <f ca="1">IF($C20="",
  "",
  IFERROR(VLOOKUP($C20,Calendario[],2,FALSE),
    IF(WEEKDAY($C20,2)&gt;5,
      FIM_DE_SEMANA,
      DIA_UTIL)))</f>
        <v>FIM DE SEMANA</v>
      </c>
      <c r="C20" s="35">
        <f t="shared" ca="1" si="1"/>
        <v>44487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Segunda</v>
      </c>
      <c r="B21" s="34" t="str">
        <f ca="1">IF($C21="",
  "",
  IFERROR(VLOOKUP($C21,Calendario[],2,FALSE),
    IF(WEEKDAY($C21,2)&gt;5,
      FIM_DE_SEMANA,
      DIA_UTIL)))</f>
        <v>DIA ÚTIL</v>
      </c>
      <c r="C21" s="35">
        <f t="shared" ca="1" si="1"/>
        <v>44488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Terça</v>
      </c>
      <c r="B22" s="34" t="str">
        <f ca="1">IF($C22="",
  "",
  IFERROR(VLOOKUP($C22,Calendario[],2,FALSE),
    IF(WEEKDAY($C22,2)&gt;5,
      FIM_DE_SEMANA,
      DIA_UTIL)))</f>
        <v>DIA ÚTIL</v>
      </c>
      <c r="C22" s="35">
        <f t="shared" ca="1" si="1"/>
        <v>44489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Quarta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44490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Quinta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44491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Sexta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44492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Sábado</v>
      </c>
      <c r="B26" s="34" t="str">
        <f ca="1">IF($C26="",
  "",
  IFERROR(VLOOKUP($C26,Calendario[],2,FALSE),
    IF(WEEKDAY($C26,2)&gt;5,
      FIM_DE_SEMANA,
      DIA_UTIL)))</f>
        <v>FIM DE SEMANA</v>
      </c>
      <c r="C26" s="35">
        <f t="shared" ca="1" si="1"/>
        <v>44493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Domingo</v>
      </c>
      <c r="B27" s="34" t="str">
        <f ca="1">IF($C27="",
  "",
  IFERROR(VLOOKUP($C27,Calendario[],2,FALSE),
    IF(WEEKDAY($C27,2)&gt;5,
      FIM_DE_SEMANA,
      DIA_UTIL)))</f>
        <v>FIM DE SEMANA</v>
      </c>
      <c r="C27" s="35">
        <f t="shared" ca="1" si="1"/>
        <v>44494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Segunda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44495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Terça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44496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Quarta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44497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Quinta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44498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Sexta</v>
      </c>
      <c r="B32" s="145" t="str">
        <f ca="1">IF($C32="",
  "",
  IFERROR(VLOOKUP($C32,Calendario[],2,FALSE),
    IF(WEEKDAY($C32,2)&gt;5,
      FIM_DE_SEMANA,
      DIA_UTIL)))</f>
        <v>DIA ÚTIL</v>
      </c>
      <c r="C32" s="35">
        <f t="shared" ca="1" si="1"/>
        <v>44499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119" priority="23">
      <formula>$B2=FERIADO</formula>
    </cfRule>
    <cfRule type="expression" dxfId="118" priority="24">
      <formula>$B2=DISPENSADO</formula>
    </cfRule>
    <cfRule type="expression" dxfId="117" priority="25">
      <formula>$B2=FERIAS</formula>
    </cfRule>
    <cfRule type="expression" dxfId="116" priority="26">
      <formula>$B2=MEIO_COMPENSADO</formula>
    </cfRule>
    <cfRule type="expression" dxfId="115" priority="27">
      <formula>$B2=COMPENSADO</formula>
    </cfRule>
    <cfRule type="expression" dxfId="114" priority="28">
      <formula>$B2=EXPEDIENTE_CORRIDO</formula>
    </cfRule>
    <cfRule type="expression" dxfId="113" priority="29">
      <formula>$B2=FIM_DE_SEMANA</formula>
    </cfRule>
    <cfRule type="expression" dxfId="112" priority="30">
      <formula>AND($B2="",ISBLANK($B3))</formula>
    </cfRule>
    <cfRule type="expression" dxfId="111" priority="31">
      <formula>AND($B2="",NOT(ISBLANK($B3)))</formula>
    </cfRule>
  </conditionalFormatting>
  <conditionalFormatting sqref="D2:G32 L2:L32 P2:X32">
    <cfRule type="cellIs" dxfId="110" priority="6" stopIfTrue="1" operator="lessThan">
      <formula>0</formula>
    </cfRule>
  </conditionalFormatting>
  <conditionalFormatting sqref="D2:G32">
    <cfRule type="expression" dxfId="109" priority="3" stopIfTrue="1">
      <formula>AND(NOT(ISBLANK(D2)),$B2=FERIAS)</formula>
    </cfRule>
    <cfRule type="notContainsBlanks" dxfId="108" priority="9">
      <formula>LEN(TRIM(D2))&gt;0</formula>
    </cfRule>
  </conditionalFormatting>
  <conditionalFormatting sqref="E2:F32">
    <cfRule type="expression" dxfId="107" priority="4" stopIfTrue="1">
      <formula>AND(AND(NOT(ISBLANK($E2)),NOT(ISBLANK($F2))),OR($B2=FERIADO,$B2=FIM_DE_SEMANA),($F2-$E2)&lt;TRUNC("1:00",6))</formula>
    </cfRule>
    <cfRule type="expression" dxfId="106" priority="10">
      <formula>AND(NOT(ISBLANK($D2)),NOT(ISBLANK($G2)))</formula>
    </cfRule>
  </conditionalFormatting>
  <conditionalFormatting sqref="H2:K32">
    <cfRule type="expression" dxfId="105" priority="7" stopIfTrue="1">
      <formula>NOT(_xlfn.ISFORMULA(H2))</formula>
    </cfRule>
    <cfRule type="expression" dxfId="104" priority="8" stopIfTrue="1">
      <formula>H2&lt;&gt;D2</formula>
    </cfRule>
  </conditionalFormatting>
  <conditionalFormatting sqref="L2:L32">
    <cfRule type="expression" dxfId="103" priority="17">
      <formula>OR(AND($L2=TIMEVALUE("8:00"),OR($B2=DIA_UTIL,$B2=MEIO_COMPENSADO,$B2=COMPENSADO)),AND($L2&gt;=TIMEVALUE("6:00"),$L2&lt;=TIMEVALUE("8:00"),$B2=EXPEDIENTE_CORRIDO))</formula>
    </cfRule>
    <cfRule type="expression" dxfId="102" priority="18">
      <formula>OR($L2&gt;TIMEVALUE("8:00"),AND($L2&gt;TIMEVALUE("0:00"),OR($B2=FERIADO,$B2=FIM_DE_SEMANA,$B2=DISPENSADO)))</formula>
    </cfRule>
    <cfRule type="expression" dxfId="10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100" priority="32">
      <formula>AND(L2=0,$B2=FERIADO)</formula>
    </cfRule>
    <cfRule type="expression" dxfId="99" priority="33">
      <formula>AND(L2=0,$B2=DISPENSADO)</formula>
    </cfRule>
    <cfRule type="expression" dxfId="98" priority="34">
      <formula>AND(L2=0,$B2=FERIAS)</formula>
    </cfRule>
    <cfRule type="expression" dxfId="97" priority="35">
      <formula>AND(L2=0,$B2=MEIO_COMPENSADO)</formula>
    </cfRule>
    <cfRule type="expression" dxfId="96" priority="36">
      <formula>AND(L2=0,$B2=COMPENSADO)</formula>
    </cfRule>
    <cfRule type="expression" dxfId="95" priority="37">
      <formula>AND(L2=0,$B2=EXPEDIENTE_CORRIDO)</formula>
    </cfRule>
    <cfRule type="expression" dxfId="94" priority="38">
      <formula>AND(L2=0,$B2=FIM_DE_SEMANA)</formula>
    </cfRule>
    <cfRule type="expression" dxfId="93" priority="39">
      <formula>AND(L2=0,$B2=DIA_UTIL)</formula>
    </cfRule>
    <cfRule type="expression" dxfId="92" priority="40">
      <formula>$B2=""</formula>
    </cfRule>
  </conditionalFormatting>
  <conditionalFormatting sqref="M2:O32">
    <cfRule type="cellIs" dxfId="91" priority="11" operator="lessThan">
      <formula>0</formula>
    </cfRule>
    <cfRule type="cellIs" dxfId="90" priority="12" operator="greaterThan">
      <formula>0</formula>
    </cfRule>
  </conditionalFormatting>
  <conditionalFormatting sqref="O2:O32">
    <cfRule type="expression" dxfId="89" priority="5" stopIfTrue="1">
      <formula>IF(OR(TIPO_DE_PONTO="Comercial",$A2="Sexta"),$O2&gt;=TIMEVALUE("0:31"),$O2&gt;=TIMEVALUE("1:01"))</formula>
    </cfRule>
  </conditionalFormatting>
  <conditionalFormatting sqref="P2:P33">
    <cfRule type="cellIs" dxfId="88" priority="13" operator="greaterThan">
      <formula>0</formula>
    </cfRule>
  </conditionalFormatting>
  <conditionalFormatting sqref="Q36 W37">
    <cfRule type="cellIs" dxfId="87" priority="21" operator="greaterThanOrEqual">
      <formula>0</formula>
    </cfRule>
    <cfRule type="cellIs" dxfId="86" priority="22" operator="lessThan">
      <formula>0</formula>
    </cfRule>
  </conditionalFormatting>
  <conditionalFormatting sqref="Q2:S33">
    <cfRule type="cellIs" dxfId="85" priority="14" operator="greaterThan">
      <formula>0</formula>
    </cfRule>
  </conditionalFormatting>
  <conditionalFormatting sqref="S40">
    <cfRule type="cellIs" dxfId="84" priority="1" operator="lessThan">
      <formula>0</formula>
    </cfRule>
    <cfRule type="cellIs" dxfId="83" priority="2" operator="greaterThan">
      <formula>0</formula>
    </cfRule>
  </conditionalFormatting>
  <conditionalFormatting sqref="T2:T33">
    <cfRule type="cellIs" dxfId="82" priority="15" operator="greaterThan">
      <formula>0</formula>
    </cfRule>
  </conditionalFormatting>
  <conditionalFormatting sqref="U2:X32 U33 W33:X33">
    <cfRule type="cellIs" dxfId="81" priority="16" operator="greaterThan">
      <formula>0</formula>
    </cfRule>
  </conditionalFormatting>
  <conditionalFormatting sqref="V33">
    <cfRule type="cellIs" dxfId="8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F87BF7D7-F709-4C01-9187-527DF1C0EED9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9370E953-132F-44A3-8EC0-759C5434DF16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FA31251B-F2C5-45AD-82B1-659BE57E8B83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2C1F454B-C69A-418A-AFC0-B6A9556D88FD}"/>
    <dataValidation allowBlank="1" showInputMessage="1" showErrorMessage="1" promptTitle="DICA" prompt="Essa coluna não entra na conta do saldo total de horas livre do mês." sqref="X1" xr:uid="{A101F360-1CE3-4633-9E05-0CD3132BE425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F0502E39-C001-4ED0-8EAB-CF4D0B242587}"/>
    <dataValidation allowBlank="1" showInputMessage="1" showErrorMessage="1" promptTitle="DICA" prompt="Coluna de tempos não tratados._x000a_É normal esses valores sumirem quando você os trata nas colunas de tratamento à direita." sqref="P1 T1" xr:uid="{C9758D3D-AF51-4507-B66C-B29317DE97CC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29268FED-334C-45FC-81C8-22D63AFA7094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0AF4DC32-F891-4874-A123-EC4D0B3EEE58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6E3CF-2919-4812-8DB5-EBD5539984C5}">
  <sheetPr codeName="BASE11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Sábado</v>
      </c>
      <c r="B2" s="70" t="str">
        <f ca="1">IF($C2="",
  "",
  IFERROR(VLOOKUP($C2,Calendario[],2,FALSE),
    IF(WEEKDAY($C2,2)&gt;5,
      FIM_DE_SEMANA,
      DIA_UTIL)))</f>
        <v>FIM DE SEMANA</v>
      </c>
      <c r="C2" s="71">
        <f ca="1">DATE(ANO,MONTH(1&amp;RIGHT(CELL("filename",$C$2),3)),1)</f>
        <v>44500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Domingo</v>
      </c>
      <c r="B3" s="34" t="str">
        <f ca="1">IF($C3="",
  "",
  IFERROR(VLOOKUP($C3,Calendario[],2,FALSE),
    IF(WEEKDAY($C3,2)&gt;5,
      FIM_DE_SEMANA,
      DIA_UTIL)))</f>
        <v>FERIADO</v>
      </c>
      <c r="C3" s="35">
        <f ca="1">IF($C2="",
  "",
  IF(MONTH($C2+1)=MONTH($C2),
    $C2+1,
    ""))</f>
        <v>44501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>Finados - Feriado Nacional</v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Segunda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44502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Terça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44503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Quarta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44504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Quinta</v>
      </c>
      <c r="B7" s="34" t="str">
        <f ca="1">IF($C7="",
  "",
  IFERROR(VLOOKUP($C7,Calendario[],2,FALSE),
    IF(WEEKDAY($C7,2)&gt;5,
      FIM_DE_SEMANA,
      DIA_UTIL)))</f>
        <v>DIA ÚTIL</v>
      </c>
      <c r="C7" s="35">
        <f t="shared" ca="1" si="1"/>
        <v>44505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Sexta</v>
      </c>
      <c r="B8" s="34" t="str">
        <f ca="1">IF($C8="",
  "",
  IFERROR(VLOOKUP($C8,Calendario[],2,FALSE),
    IF(WEEKDAY($C8,2)&gt;5,
      FIM_DE_SEMANA,
      DIA_UTIL)))</f>
        <v>DIA ÚTIL</v>
      </c>
      <c r="C8" s="35">
        <f t="shared" ca="1" si="1"/>
        <v>44506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Sábado</v>
      </c>
      <c r="B9" s="34" t="str">
        <f ca="1">IF($C9="",
  "",
  IFERROR(VLOOKUP($C9,Calendario[],2,FALSE),
    IF(WEEKDAY($C9,2)&gt;5,
      FIM_DE_SEMANA,
      DIA_UTIL)))</f>
        <v>FIM DE SEMANA</v>
      </c>
      <c r="C9" s="35">
        <f t="shared" ca="1" si="1"/>
        <v>44507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/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Domingo</v>
      </c>
      <c r="B10" s="34" t="str">
        <f ca="1">IF($C10="",
  "",
  IFERROR(VLOOKUP($C10,Calendario[],2,FALSE),
    IF(WEEKDAY($C10,2)&gt;5,
      FIM_DE_SEMANA,
      DIA_UTIL)))</f>
        <v>FIM DE SEMANA</v>
      </c>
      <c r="C10" s="35">
        <f t="shared" ca="1" si="1"/>
        <v>44508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Segunda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44509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Terça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44510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Quarta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44511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Quinta</v>
      </c>
      <c r="B14" s="34" t="str">
        <f ca="1">IF($C14="",
  "",
  IFERROR(VLOOKUP($C14,Calendario[],2,FALSE),
    IF(WEEKDAY($C14,2)&gt;5,
      FIM_DE_SEMANA,
      DIA_UTIL)))</f>
        <v>DIA ÚTIL</v>
      </c>
      <c r="C14" s="35">
        <f t="shared" ca="1" si="1"/>
        <v>44512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Sexta</v>
      </c>
      <c r="B15" s="34" t="str">
        <f ca="1">IF($C15="",
  "",
  IFERROR(VLOOKUP($C15,Calendario[],2,FALSE),
    IF(WEEKDAY($C15,2)&gt;5,
      FIM_DE_SEMANA,
      DIA_UTIL)))</f>
        <v>DIA ÚTIL</v>
      </c>
      <c r="C15" s="35">
        <f t="shared" ca="1" si="1"/>
        <v>44513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Sábado</v>
      </c>
      <c r="B16" s="34" t="str">
        <f ca="1">IF($C16="",
  "",
  IFERROR(VLOOKUP($C16,Calendario[],2,FALSE),
    IF(WEEKDAY($C16,2)&gt;5,
      FIM_DE_SEMANA,
      DIA_UTIL)))</f>
        <v>FERIADO</v>
      </c>
      <c r="C16" s="35">
        <f t="shared" ca="1" si="1"/>
        <v>44514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>Proclamação da República - Feriado Nacional</v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Domingo</v>
      </c>
      <c r="B17" s="34" t="str">
        <f ca="1">IF($C17="",
  "",
  IFERROR(VLOOKUP($C17,Calendario[],2,FALSE),
    IF(WEEKDAY($C17,2)&gt;5,
      FIM_DE_SEMANA,
      DIA_UTIL)))</f>
        <v>FIM DE SEMANA</v>
      </c>
      <c r="C17" s="35">
        <f t="shared" ca="1" si="1"/>
        <v>44515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Segunda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44516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Terça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44517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Quarta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44518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Quinta</v>
      </c>
      <c r="B21" s="34" t="str">
        <f ca="1">IF($C21="",
  "",
  IFERROR(VLOOKUP($C21,Calendario[],2,FALSE),
    IF(WEEKDAY($C21,2)&gt;5,
      FIM_DE_SEMANA,
      DIA_UTIL)))</f>
        <v>FERIADO</v>
      </c>
      <c r="C21" s="35">
        <f t="shared" ca="1" si="1"/>
        <v>44519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>Dia Nacional da Consciência Negra - Feriado Nacional</v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Sexta</v>
      </c>
      <c r="B22" s="34" t="str">
        <f ca="1">IF($C22="",
  "",
  IFERROR(VLOOKUP($C22,Calendario[],2,FALSE),
    IF(WEEKDAY($C22,2)&gt;5,
      FIM_DE_SEMANA,
      DIA_UTIL)))</f>
        <v>COMPENSADO</v>
      </c>
      <c r="C22" s="35">
        <f t="shared" ca="1" si="1"/>
        <v>44520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>Dia Compensado Facultativo (Dia Normal)</v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Sábado</v>
      </c>
      <c r="B23" s="34" t="str">
        <f ca="1">IF($C23="",
  "",
  IFERROR(VLOOKUP($C23,Calendario[],2,FALSE),
    IF(WEEKDAY($C23,2)&gt;5,
      FIM_DE_SEMANA,
      DIA_UTIL)))</f>
        <v>FIM DE SEMANA</v>
      </c>
      <c r="C23" s="35">
        <f t="shared" ca="1" si="1"/>
        <v>44521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Domingo</v>
      </c>
      <c r="B24" s="34" t="str">
        <f ca="1">IF($C24="",
  "",
  IFERROR(VLOOKUP($C24,Calendario[],2,FALSE),
    IF(WEEKDAY($C24,2)&gt;5,
      FIM_DE_SEMANA,
      DIA_UTIL)))</f>
        <v>FIM DE SEMANA</v>
      </c>
      <c r="C24" s="35">
        <f t="shared" ca="1" si="1"/>
        <v>44522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Segunda</v>
      </c>
      <c r="B25" s="34" t="str">
        <f ca="1">IF($C25="",
  "",
  IFERROR(VLOOKUP($C25,Calendario[],2,FALSE),
    IF(WEEKDAY($C25,2)&gt;5,
      FIM_DE_SEMANA,
      DIA_UTIL)))</f>
        <v>DIA ÚTIL</v>
      </c>
      <c r="C25" s="35">
        <f t="shared" ca="1" si="1"/>
        <v>44523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/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Terça</v>
      </c>
      <c r="B26" s="34" t="str">
        <f ca="1">IF($C26="",
  "",
  IFERROR(VLOOKUP($C26,Calendario[],2,FALSE),
    IF(WEEKDAY($C26,2)&gt;5,
      FIM_DE_SEMANA,
      DIA_UTIL)))</f>
        <v>DIA ÚTIL</v>
      </c>
      <c r="C26" s="35">
        <f t="shared" ca="1" si="1"/>
        <v>44524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/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Quarta</v>
      </c>
      <c r="B27" s="34" t="str">
        <f ca="1">IF($C27="",
  "",
  IFERROR(VLOOKUP($C27,Calendario[],2,FALSE),
    IF(WEEKDAY($C27,2)&gt;5,
      FIM_DE_SEMANA,
      DIA_UTIL)))</f>
        <v>DIA ÚTIL</v>
      </c>
      <c r="C27" s="35">
        <f t="shared" ca="1" si="1"/>
        <v>44525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/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Quinta</v>
      </c>
      <c r="B28" s="34" t="str">
        <f ca="1">IF($C28="",
  "",
  IFERROR(VLOOKUP($C28,Calendario[],2,FALSE),
    IF(WEEKDAY($C28,2)&gt;5,
      FIM_DE_SEMANA,
      DIA_UTIL)))</f>
        <v>DIA ÚTIL</v>
      </c>
      <c r="C28" s="35">
        <f t="shared" ca="1" si="1"/>
        <v>44526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Sexta</v>
      </c>
      <c r="B29" s="34" t="str">
        <f ca="1">IF($C29="",
  "",
  IFERROR(VLOOKUP($C29,Calendario[],2,FALSE),
    IF(WEEKDAY($C29,2)&gt;5,
      FIM_DE_SEMANA,
      DIA_UTIL)))</f>
        <v>DIA ÚTIL</v>
      </c>
      <c r="C29" s="35">
        <f t="shared" ca="1" si="1"/>
        <v>44527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Sábado</v>
      </c>
      <c r="B30" s="34" t="str">
        <f ca="1">IF($C30="",
  "",
  IFERROR(VLOOKUP($C30,Calendario[],2,FALSE),
    IF(WEEKDAY($C30,2)&gt;5,
      FIM_DE_SEMANA,
      DIA_UTIL)))</f>
        <v>FIM DE SEMANA</v>
      </c>
      <c r="C30" s="35">
        <f t="shared" ca="1" si="1"/>
        <v>44528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6.5" thickBot="1" x14ac:dyDescent="0.3">
      <c r="A31" s="33" t="str">
        <f t="shared" ca="1" si="0"/>
        <v>Domingo</v>
      </c>
      <c r="B31" s="34" t="str">
        <f ca="1">IF($C31="",
  "",
  IFERROR(VLOOKUP($C31,Calendario[],2,FALSE),
    IF(WEEKDAY($C31,2)&gt;5,
      FIM_DE_SEMANA,
      DIA_UTIL)))</f>
        <v>FIM DE SEMANA</v>
      </c>
      <c r="C31" s="35">
        <f t="shared" ca="1" si="1"/>
        <v>44529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hidden="1" thickBot="1" x14ac:dyDescent="0.3">
      <c r="A32" s="80" t="str">
        <f t="shared" ca="1" si="0"/>
        <v/>
      </c>
      <c r="B32" s="145" t="str">
        <f ca="1">IF($C32="",
  "",
  IFERROR(VLOOKUP($C32,Calendario[],2,FALSE),
    IF(WEEKDAY($C32,2)&gt;5,
      FIM_DE_SEMANA,
      DIA_UTIL)))</f>
        <v/>
      </c>
      <c r="C32" s="35" t="str">
        <f t="shared" ca="1" si="1"/>
        <v/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/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79" priority="23">
      <formula>$B2=FERIADO</formula>
    </cfRule>
    <cfRule type="expression" dxfId="78" priority="24">
      <formula>$B2=DISPENSADO</formula>
    </cfRule>
    <cfRule type="expression" dxfId="77" priority="25">
      <formula>$B2=FERIAS</formula>
    </cfRule>
    <cfRule type="expression" dxfId="76" priority="26">
      <formula>$B2=MEIO_COMPENSADO</formula>
    </cfRule>
    <cfRule type="expression" dxfId="75" priority="27">
      <formula>$B2=COMPENSADO</formula>
    </cfRule>
    <cfRule type="expression" dxfId="74" priority="28">
      <formula>$B2=EXPEDIENTE_CORRIDO</formula>
    </cfRule>
    <cfRule type="expression" dxfId="73" priority="29">
      <formula>$B2=FIM_DE_SEMANA</formula>
    </cfRule>
    <cfRule type="expression" dxfId="72" priority="30">
      <formula>AND($B2="",ISBLANK($B3))</formula>
    </cfRule>
    <cfRule type="expression" dxfId="71" priority="31">
      <formula>AND($B2="",NOT(ISBLANK($B3)))</formula>
    </cfRule>
  </conditionalFormatting>
  <conditionalFormatting sqref="D2:G32 L2:L32 P2:X32">
    <cfRule type="cellIs" dxfId="70" priority="6" stopIfTrue="1" operator="lessThan">
      <formula>0</formula>
    </cfRule>
  </conditionalFormatting>
  <conditionalFormatting sqref="D2:G32">
    <cfRule type="expression" dxfId="69" priority="3" stopIfTrue="1">
      <formula>AND(NOT(ISBLANK(D2)),$B2=FERIAS)</formula>
    </cfRule>
    <cfRule type="notContainsBlanks" dxfId="68" priority="9">
      <formula>LEN(TRIM(D2))&gt;0</formula>
    </cfRule>
  </conditionalFormatting>
  <conditionalFormatting sqref="E2:F32">
    <cfRule type="expression" dxfId="67" priority="4" stopIfTrue="1">
      <formula>AND(AND(NOT(ISBLANK($E2)),NOT(ISBLANK($F2))),OR($B2=FERIADO,$B2=FIM_DE_SEMANA),($F2-$E2)&lt;TRUNC("1:00",6))</formula>
    </cfRule>
    <cfRule type="expression" dxfId="66" priority="10">
      <formula>AND(NOT(ISBLANK($D2)),NOT(ISBLANK($G2)))</formula>
    </cfRule>
  </conditionalFormatting>
  <conditionalFormatting sqref="H2:K32">
    <cfRule type="expression" dxfId="65" priority="7" stopIfTrue="1">
      <formula>NOT(_xlfn.ISFORMULA(H2))</formula>
    </cfRule>
    <cfRule type="expression" dxfId="64" priority="8" stopIfTrue="1">
      <formula>H2&lt;&gt;D2</formula>
    </cfRule>
  </conditionalFormatting>
  <conditionalFormatting sqref="L2:L32">
    <cfRule type="expression" dxfId="63" priority="17">
      <formula>OR(AND($L2=TIMEVALUE("8:00"),OR($B2=DIA_UTIL,$B2=MEIO_COMPENSADO,$B2=COMPENSADO)),AND($L2&gt;=TIMEVALUE("6:00"),$L2&lt;=TIMEVALUE("8:00"),$B2=EXPEDIENTE_CORRIDO))</formula>
    </cfRule>
    <cfRule type="expression" dxfId="62" priority="18">
      <formula>OR($L2&gt;TIMEVALUE("8:00"),AND($L2&gt;TIMEVALUE("0:00"),OR($B2=FERIADO,$B2=FIM_DE_SEMANA,$B2=DISPENSADO)))</formula>
    </cfRule>
    <cfRule type="expression" dxfId="6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60" priority="32">
      <formula>AND(L2=0,$B2=FERIADO)</formula>
    </cfRule>
    <cfRule type="expression" dxfId="59" priority="33">
      <formula>AND(L2=0,$B2=DISPENSADO)</formula>
    </cfRule>
    <cfRule type="expression" dxfId="58" priority="34">
      <formula>AND(L2=0,$B2=FERIAS)</formula>
    </cfRule>
    <cfRule type="expression" dxfId="57" priority="35">
      <formula>AND(L2=0,$B2=MEIO_COMPENSADO)</formula>
    </cfRule>
    <cfRule type="expression" dxfId="56" priority="36">
      <formula>AND(L2=0,$B2=COMPENSADO)</formula>
    </cfRule>
    <cfRule type="expression" dxfId="55" priority="37">
      <formula>AND(L2=0,$B2=EXPEDIENTE_CORRIDO)</formula>
    </cfRule>
    <cfRule type="expression" dxfId="54" priority="38">
      <formula>AND(L2=0,$B2=FIM_DE_SEMANA)</formula>
    </cfRule>
    <cfRule type="expression" dxfId="53" priority="39">
      <formula>AND(L2=0,$B2=DIA_UTIL)</formula>
    </cfRule>
    <cfRule type="expression" dxfId="52" priority="40">
      <formula>$B2=""</formula>
    </cfRule>
  </conditionalFormatting>
  <conditionalFormatting sqref="M2:O32">
    <cfRule type="cellIs" dxfId="51" priority="11" operator="lessThan">
      <formula>0</formula>
    </cfRule>
    <cfRule type="cellIs" dxfId="50" priority="12" operator="greaterThan">
      <formula>0</formula>
    </cfRule>
  </conditionalFormatting>
  <conditionalFormatting sqref="O2:O32">
    <cfRule type="expression" dxfId="49" priority="5" stopIfTrue="1">
      <formula>IF(OR(TIPO_DE_PONTO="Comercial",$A2="Sexta"),$O2&gt;=TIMEVALUE("0:31"),$O2&gt;=TIMEVALUE("1:01"))</formula>
    </cfRule>
  </conditionalFormatting>
  <conditionalFormatting sqref="P2:P33">
    <cfRule type="cellIs" dxfId="48" priority="13" operator="greaterThan">
      <formula>0</formula>
    </cfRule>
  </conditionalFormatting>
  <conditionalFormatting sqref="Q36 W37">
    <cfRule type="cellIs" dxfId="47" priority="21" operator="greaterThanOrEqual">
      <formula>0</formula>
    </cfRule>
    <cfRule type="cellIs" dxfId="46" priority="22" operator="lessThan">
      <formula>0</formula>
    </cfRule>
  </conditionalFormatting>
  <conditionalFormatting sqref="Q2:S33">
    <cfRule type="cellIs" dxfId="45" priority="14" operator="greaterThan">
      <formula>0</formula>
    </cfRule>
  </conditionalFormatting>
  <conditionalFormatting sqref="S40">
    <cfRule type="cellIs" dxfId="44" priority="1" operator="lessThan">
      <formula>0</formula>
    </cfRule>
    <cfRule type="cellIs" dxfId="43" priority="2" operator="greaterThan">
      <formula>0</formula>
    </cfRule>
  </conditionalFormatting>
  <conditionalFormatting sqref="T2:T33">
    <cfRule type="cellIs" dxfId="42" priority="15" operator="greaterThan">
      <formula>0</formula>
    </cfRule>
  </conditionalFormatting>
  <conditionalFormatting sqref="U2:X32 U33 W33:X33">
    <cfRule type="cellIs" dxfId="41" priority="16" operator="greaterThan">
      <formula>0</formula>
    </cfRule>
  </conditionalFormatting>
  <conditionalFormatting sqref="V33">
    <cfRule type="cellIs" dxfId="4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04A3A3B5-361A-495C-82FB-4D18A1D1DC83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29C97892-8932-441F-B7B6-7265A0159440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66ED2764-8321-4D80-99B9-CA6FF7613954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BDA6258C-D889-4BDA-87A4-A462DB4D8BC7}"/>
    <dataValidation allowBlank="1" showInputMessage="1" showErrorMessage="1" promptTitle="DICA" prompt="Essa coluna não entra na conta do saldo total de horas livre do mês." sqref="X1" xr:uid="{4E87F63C-7CFD-451A-B7C3-2C9953F9278F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9B2780DC-478F-4C30-ACFB-8626F0498269}"/>
    <dataValidation allowBlank="1" showInputMessage="1" showErrorMessage="1" promptTitle="DICA" prompt="Coluna de tempos não tratados._x000a_É normal esses valores sumirem quando você os trata nas colunas de tratamento à direita." sqref="P1 T1" xr:uid="{EB4682F5-8E70-434E-BF70-D89FE609EFF1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A8212028-758B-4D6B-AC38-3EB42BBD2BB2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EA6DC5E5-92B7-4EE2-A2B5-C9D1B3B5461E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19B29-8C27-42FA-92F8-5448FFC6D120}">
  <sheetPr codeName="BASE12"/>
  <dimension ref="A1:BI156"/>
  <sheetViews>
    <sheetView zoomScale="70" zoomScaleNormal="70" workbookViewId="0">
      <pane ySplit="1" topLeftCell="A2" activePane="bottomLeft" state="frozen"/>
      <selection activeCell="F4" sqref="F4"/>
      <selection pane="bottomLeft"/>
    </sheetView>
  </sheetViews>
  <sheetFormatPr defaultRowHeight="12" x14ac:dyDescent="0.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 x14ac:dyDescent="0.3">
      <c r="A1" s="53" t="s">
        <v>138</v>
      </c>
      <c r="B1" s="54" t="s">
        <v>29</v>
      </c>
      <c r="C1" s="55" t="s">
        <v>0</v>
      </c>
      <c r="D1" s="56" t="s">
        <v>1</v>
      </c>
      <c r="E1" s="57" t="s">
        <v>18</v>
      </c>
      <c r="F1" s="57" t="s">
        <v>2</v>
      </c>
      <c r="G1" s="58" t="s">
        <v>3</v>
      </c>
      <c r="H1" s="59" t="s">
        <v>33</v>
      </c>
      <c r="I1" s="60" t="s">
        <v>35</v>
      </c>
      <c r="J1" s="60" t="s">
        <v>36</v>
      </c>
      <c r="K1" s="61" t="s">
        <v>34</v>
      </c>
      <c r="L1" s="62" t="s">
        <v>130</v>
      </c>
      <c r="M1" s="63" t="s">
        <v>4</v>
      </c>
      <c r="N1" s="63" t="s">
        <v>5</v>
      </c>
      <c r="O1" s="64" t="s">
        <v>41</v>
      </c>
      <c r="P1" s="65" t="s">
        <v>6</v>
      </c>
      <c r="Q1" s="66" t="s">
        <v>97</v>
      </c>
      <c r="R1" s="66" t="s">
        <v>84</v>
      </c>
      <c r="S1" s="67" t="s">
        <v>140</v>
      </c>
      <c r="T1" s="68" t="s">
        <v>7</v>
      </c>
      <c r="U1" s="81" t="s">
        <v>88</v>
      </c>
      <c r="V1" s="81" t="s">
        <v>87</v>
      </c>
      <c r="W1" s="81" t="s">
        <v>86</v>
      </c>
      <c r="X1" s="82" t="s">
        <v>85</v>
      </c>
      <c r="Y1" s="300" t="s">
        <v>117</v>
      </c>
      <c r="Z1" s="301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 x14ac:dyDescent="0.25">
      <c r="A2" s="69" t="str">
        <f ca="1">IF($C2="",
  "",
  PROPER(IF(WEEKDAY($C2,2)&gt;5,TEXT($C2,"dddd"),LEFT(TEXT($C2,"dddd"),LEN(TEXT($C2,"dddd"))-6))))</f>
        <v>Segunda</v>
      </c>
      <c r="B2" s="70" t="str">
        <f ca="1">IF($C2="",
  "",
  IFERROR(VLOOKUP($C2,Calendario[],2,FALSE),
    IF(WEEKDAY($C2,2)&gt;5,
      FIM_DE_SEMANA,
      DIA_UTIL)))</f>
        <v>DIA ÚTIL</v>
      </c>
      <c r="C2" s="71">
        <f ca="1">DATE(ANO,MONTH(1&amp;RIGHT(CELL("filename",$C$2),3)),1)</f>
        <v>44530</v>
      </c>
      <c r="D2" s="213"/>
      <c r="E2" s="214"/>
      <c r="F2" s="214"/>
      <c r="G2" s="215"/>
      <c r="H2" s="47" cm="1">
        <f t="array" ref="H2">EntradaTratada($A2,$B2,$D2,$I2,TIPO_DE_PONTO,Calendario[DIA]:Calendario[TIPO])</f>
        <v>0</v>
      </c>
      <c r="I2" s="48" cm="1">
        <f t="array" ref="I2">SaidaAlmocoTratada($A2,$B2,$D2:$G2,TIPO_DE_PONTO,Calendario[DIA]:Calendario[TIPO])</f>
        <v>0</v>
      </c>
      <c r="J2" s="48" cm="1">
        <f t="array" ref="J2">RetornoAlmocoTratado($A2,$B2,$D2:$G2,TIPO_DE_PONTO,Calendario[DIA]:Calendario[TIPO])</f>
        <v>0</v>
      </c>
      <c r="K2" s="49" cm="1">
        <f t="array" ref="K2">SaidaTratada($A2,$B2,$D2:$G2,$J2,TIPO_DE_PONTO,Calendario[DIA]:Calendario[TIPO])</f>
        <v>0</v>
      </c>
      <c r="L2" s="73" cm="1">
        <f t="array" ref="L2">Round2minute(($I2-$H2)+($K2-$J2))</f>
        <v>0</v>
      </c>
      <c r="M2" s="74" cm="1">
        <f t="array" aca="1" ref="M2" ca="1">IF(OR($L2=0,$B2=FIM_DE_SEMANA,$B2=FERIADO,$B2=DISPENSADO,$B2=MEIO_COMPENSADO),
       0,
       IF(AND(TIPO_DE_PONTO="Construção",$A2="Sexta"),
           Round2minute("7:00"-$H2),
           Round2minute("7:30"-$H2)))</f>
        <v>0</v>
      </c>
      <c r="N2" s="74" cm="1">
        <f t="array" aca="1" ref="N2" ca="1">IF(OR($L2=0,$B2=FIM_DE_SEMANA,$B2=FERIADO,$B2=DISPENSADO,$B2=MEIO_COMPENSADO),
   0,
   IF(TIPO_DE_PONTO="Comercial",
     IF(AND($B2=EXPEDIENTE_CORRIDO,$K2&lt;TIMEVALUE("17:00")),
       IF($K2&lt;TIMEVALUE("13:30"),
         Round2minute($K2-"13:30"),
         0),
       Round2minute($K2-"17:00")),
     IF(AND(TIPO_DE_PONTO="Construção",$A2&lt;&gt;"Sexta"),
       IF(AND($B2=EXPEDIENTE_CORRIDO,$K2&lt;TIMEVALUE("17:30")),
         IF($K2&lt;TIMEVALUE("13:30"),
           Round2minute($K2-"13:30"),
           0),
         Round2minute($K2-"17:30")),
       IF(AND($B2=EXPEDIENTE_CORRIDO,$K2&lt;TIMEVALUE("16:30")),
         IF($K2&lt;TIMEVALUE("13:30"),
           Round2minute($K2-"13:00"),
           0),
         Round2minute($K2-"16:30")))))</f>
        <v>0</v>
      </c>
      <c r="O2" s="40" cm="1">
        <f t="array" aca="1" ref="O2" ca="1">IF(OR($L2=0,$B2=FIM_DE_SEMANA,$B2=FERIADO,$B2=DISPENSADO,$B2=MEIO_COMPENSADO),
       0,
       IF(AND($B2=EXPEDIENTE_CORRIDO,AND($I2=0,$J2=0)),
         0,
         IF(AND(TIPO_DE_PONTO="Construção",$A2&lt;&gt;"Sexta"),
           Round2minute("02:00"-($J2-$I2)),
           Round2minute("01:30"-($J2-$I2)))))</f>
        <v>0</v>
      </c>
      <c r="P2" s="75" cm="1">
        <f t="array" ref="P2">IF($L2=0,
      0,
      Round2minute((-1)*SUMIF($M2:$O2,"&lt;0")-Q2-S2-R2))</f>
        <v>0</v>
      </c>
      <c r="Q2" s="224"/>
      <c r="R2" s="225"/>
      <c r="S2" s="226"/>
      <c r="T2" s="75" cm="1">
        <f t="array" aca="1" ref="T2" ca="1">IF(OR($B2=FIM_DE_SEMANA,$B2=FERIADO,$B2=DISPENSADO,$B2=MEIO_COMPENSADO),
       Round2minute($L2-U2-V2-W2-X2),
       Round2minute(SUMIF($M2:$O2,"&gt;0")-U2-V2-W2-X2))</f>
        <v>0</v>
      </c>
      <c r="U2" s="225"/>
      <c r="V2" s="225"/>
      <c r="W2" s="232"/>
      <c r="X2" s="233"/>
      <c r="Y2" s="185" t="str">
        <f ca="1">IFERROR(VLOOKUP($C2,Calendario[],3,FALSE),"")</f>
        <v/>
      </c>
      <c r="Z2" s="237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 x14ac:dyDescent="0.25">
      <c r="A3" s="33" t="str">
        <f t="shared" ref="A3:A32" ca="1" si="0">IF($C3="",
  "",
  PROPER(IF(WEEKDAY($C3,2)&gt;5,TEXT($C3,"dddd"),LEFT(TEXT($C3,"dddd"),LEN(TEXT($C3,"dddd"))-6))))</f>
        <v>Terça</v>
      </c>
      <c r="B3" s="34" t="str">
        <f ca="1">IF($C3="",
  "",
  IFERROR(VLOOKUP($C3,Calendario[],2,FALSE),
    IF(WEEKDAY($C3,2)&gt;5,
      FIM_DE_SEMANA,
      DIA_UTIL)))</f>
        <v>DIA ÚTIL</v>
      </c>
      <c r="C3" s="35">
        <f ca="1">IF($C2="",
  "",
  IF(MONTH($C2+1)=MONTH($C2),
    $C2+1,
    ""))</f>
        <v>44531</v>
      </c>
      <c r="D3" s="216"/>
      <c r="E3" s="217"/>
      <c r="F3" s="217"/>
      <c r="G3" s="218"/>
      <c r="H3" s="157" cm="1">
        <f t="array" ref="H3">EntradaTratada($A3,$B3,$D3,$I3,TIPO_DE_PONTO,Calendario[DIA]:Calendario[TIPO])</f>
        <v>0</v>
      </c>
      <c r="I3" s="137" cm="1">
        <f t="array" ref="I3">SaidaAlmocoTratada($A3,$B3,$D3:$G3,TIPO_DE_PONTO,Calendario[DIA]:Calendario[TIPO])</f>
        <v>0</v>
      </c>
      <c r="J3" s="137" cm="1">
        <f t="array" ref="J3">RetornoAlmocoTratado($A3,$B3,$D3:$G3,TIPO_DE_PONTO,Calendario[DIA]:Calendario[TIPO])</f>
        <v>0</v>
      </c>
      <c r="K3" s="166" cm="1">
        <f t="array" ref="K3">SaidaTratada($A3,$B3,$D3:$G3,$J3,TIPO_DE_PONTO,Calendario[DIA]:Calendario[TIPO])</f>
        <v>0</v>
      </c>
      <c r="L3" s="159" cm="1">
        <f t="array" ref="L3">Round2minute(($I3-$H3)+($K3-$J3))</f>
        <v>0</v>
      </c>
      <c r="M3" s="138" cm="1">
        <f t="array" aca="1" ref="M3" ca="1">IF(OR($L3=0,$B3=FIM_DE_SEMANA,$B3=FERIADO,$B3=DISPENSADO,$B3=MEIO_COMPENSADO),
       0,
       IF(AND(TIPO_DE_PONTO="Construção",$A3="Sexta"),
           Round2minute("7:00"-$H3),
           Round2minute("7:30"-$H3)))</f>
        <v>0</v>
      </c>
      <c r="N3" s="138" cm="1">
        <f t="array" aca="1" ref="N3" ca="1">IF(OR($L3=0,$B3=FIM_DE_SEMANA,$B3=FERIADO,$B3=DISPENSADO,$B3=MEIO_COMPENSADO),
   0,
   IF(TIPO_DE_PONTO="Comercial",
     IF(AND($B3=EXPEDIENTE_CORRIDO,$K3&lt;TIMEVALUE("17:00")),
       IF($K3&lt;TIMEVALUE("13:30"),
         Round2minute($K3-"13:30"),
         0),
       Round2minute($K3-"17:00")),
     IF(AND(TIPO_DE_PONTO="Construção",$A3&lt;&gt;"Sexta"),
       IF(AND($B3=EXPEDIENTE_CORRIDO,$K3&lt;TIMEVALUE("17:30")),
         IF($K3&lt;TIMEVALUE("13:30"),
           Round2minute($K3-"13:30"),
           0),
         Round2minute($K3-"17:30")),
       IF(AND($B3=EXPEDIENTE_CORRIDO,$K3&lt;TIMEVALUE("16:30")),
         IF($K3&lt;TIMEVALUE("13:30"),
           Round2minute($K3-"13:00"),
           0),
         Round2minute($K3-"16:30")))))</f>
        <v>0</v>
      </c>
      <c r="O3" s="168" cm="1">
        <f t="array" aca="1" ref="O3" ca="1">IF(OR($L3=0,$B3=FIM_DE_SEMANA,$B3=FERIADO,$B3=DISPENSADO,$B3=MEIO_COMPENSADO),
       0,
       IF(AND($B3=EXPEDIENTE_CORRIDO,AND($I3=0,$J3=0)),
         0,
         IF(AND(TIPO_DE_PONTO="Construção",$A3&lt;&gt;"Sexta"),
           Round2minute("02:00"-($J3-$I3)),
           Round2minute("01:30"-($J3-$I3)))))</f>
        <v>0</v>
      </c>
      <c r="P3" s="79" cm="1">
        <f t="array" ref="P3">IF($L3=0,
      0,
      Round2minute((-1)*SUMIF($M3:$O3,"&lt;0")-Q3-S3-R3))</f>
        <v>0</v>
      </c>
      <c r="Q3" s="227"/>
      <c r="R3" s="229"/>
      <c r="S3" s="226"/>
      <c r="T3" s="79" cm="1">
        <f t="array" aca="1" ref="T3" ca="1">IF(OR($B3=FIM_DE_SEMANA,$B3=FERIADO,$B3=DISPENSADO,$B3=MEIO_COMPENSADO),
       Round2minute($L3-U3-V3-W3-X3),
       Round2minute(SUMIF($M3:$O3,"&gt;0")-U3-V3-W3-X3))</f>
        <v>0</v>
      </c>
      <c r="U3" s="229"/>
      <c r="V3" s="229"/>
      <c r="W3" s="229"/>
      <c r="X3" s="228"/>
      <c r="Y3" s="186" t="str">
        <f ca="1">IFERROR(VLOOKUP($C3,Calendario[],3,FALSE),"")</f>
        <v/>
      </c>
      <c r="Z3" s="23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 x14ac:dyDescent="0.25">
      <c r="A4" s="33" t="str">
        <f t="shared" ca="1" si="0"/>
        <v>Quarta</v>
      </c>
      <c r="B4" s="34" t="str">
        <f ca="1">IF($C4="",
  "",
  IFERROR(VLOOKUP($C4,Calendario[],2,FALSE),
    IF(WEEKDAY($C4,2)&gt;5,
      FIM_DE_SEMANA,
      DIA_UTIL)))</f>
        <v>DIA ÚTIL</v>
      </c>
      <c r="C4" s="35">
        <f t="shared" ref="C4:C32" ca="1" si="1">IF($C3="",
  "",
  IF(MONTH($C3+1)=MONTH($C3),
    $C3+1,
    ""))</f>
        <v>44532</v>
      </c>
      <c r="D4" s="216"/>
      <c r="E4" s="217"/>
      <c r="F4" s="217"/>
      <c r="G4" s="218"/>
      <c r="H4" s="157" cm="1">
        <f t="array" ref="H4">EntradaTratada($A4,$B4,$D4,$I4,TIPO_DE_PONTO,Calendario[DIA]:Calendario[TIPO])</f>
        <v>0</v>
      </c>
      <c r="I4" s="137" cm="1">
        <f t="array" ref="I4">SaidaAlmocoTratada($A4,$B4,$D4:$G4,TIPO_DE_PONTO,Calendario[DIA]:Calendario[TIPO])</f>
        <v>0</v>
      </c>
      <c r="J4" s="137" cm="1">
        <f t="array" ref="J4">RetornoAlmocoTratado($A4,$B4,$D4:$G4,TIPO_DE_PONTO,Calendario[DIA]:Calendario[TIPO])</f>
        <v>0</v>
      </c>
      <c r="K4" s="166" cm="1">
        <f t="array" ref="K4">SaidaTratada($A4,$B4,$D4:$G4,$J4,TIPO_DE_PONTO,Calendario[DIA]:Calendario[TIPO])</f>
        <v>0</v>
      </c>
      <c r="L4" s="159" cm="1">
        <f t="array" ref="L4">Round2minute(($I4-$H4)+($K4-$J4))</f>
        <v>0</v>
      </c>
      <c r="M4" s="138" cm="1">
        <f t="array" aca="1" ref="M4" ca="1">IF(OR($L4=0,$B4=FIM_DE_SEMANA,$B4=FERIADO,$B4=DISPENSADO,$B4=MEIO_COMPENSADO),
       0,
       IF(AND(TIPO_DE_PONTO="Construção",$A4="Sexta"),
           Round2minute("7:00"-$H4),
           Round2minute("7:30"-$H4)))</f>
        <v>0</v>
      </c>
      <c r="N4" s="138" cm="1">
        <f t="array" aca="1" ref="N4" ca="1">IF(OR($L4=0,$B4=FIM_DE_SEMANA,$B4=FERIADO,$B4=DISPENSADO,$B4=MEIO_COMPENSADO),
   0,
   IF(TIPO_DE_PONTO="Comercial",
     IF(AND($B4=EXPEDIENTE_CORRIDO,$K4&lt;TIMEVALUE("17:00")),
       IF($K4&lt;TIMEVALUE("13:30"),
         Round2minute($K4-"13:30"),
         0),
       Round2minute($K4-"17:00")),
     IF(AND(TIPO_DE_PONTO="Construção",$A4&lt;&gt;"Sexta"),
       IF(AND($B4=EXPEDIENTE_CORRIDO,$K4&lt;TIMEVALUE("17:30")),
         IF($K4&lt;TIMEVALUE("13:30"),
           Round2minute($K4-"13:30"),
           0),
         Round2minute($K4-"17:30")),
       IF(AND($B4=EXPEDIENTE_CORRIDO,$K4&lt;TIMEVALUE("16:30")),
         IF($K4&lt;TIMEVALUE("13:30"),
           Round2minute($K4-"13:00"),
           0),
         Round2minute($K4-"16:30")))))</f>
        <v>0</v>
      </c>
      <c r="O4" s="168" cm="1">
        <f t="array" aca="1" ref="O4" ca="1">IF(OR($L4=0,$B4=FIM_DE_SEMANA,$B4=FERIADO,$B4=DISPENSADO,$B4=MEIO_COMPENSADO),
       0,
       IF(AND($B4=EXPEDIENTE_CORRIDO,AND($I4=0,$J4=0)),
         0,
         IF(AND(TIPO_DE_PONTO="Construção",$A4&lt;&gt;"Sexta"),
           Round2minute("02:00"-($J4-$I4)),
           Round2minute("01:30"-($J4-$I4)))))</f>
        <v>0</v>
      </c>
      <c r="P4" s="79" cm="1">
        <f t="array" ref="P4">IF($L4=0,
      0,
      Round2minute((-1)*SUMIF($M4:$O4,"&lt;0")-Q4-S4-R4))</f>
        <v>0</v>
      </c>
      <c r="Q4" s="227"/>
      <c r="R4" s="229"/>
      <c r="S4" s="228"/>
      <c r="T4" s="79" cm="1">
        <f t="array" aca="1" ref="T4" ca="1">IF(OR($B4=FIM_DE_SEMANA,$B4=FERIADO,$B4=DISPENSADO,$B4=MEIO_COMPENSADO),
       Round2minute($L4-U4-V4-W4-X4),
       Round2minute(SUMIF($M4:$O4,"&gt;0")-U4-V4-W4-X4))</f>
        <v>0</v>
      </c>
      <c r="U4" s="229"/>
      <c r="V4" s="229"/>
      <c r="W4" s="234"/>
      <c r="X4" s="235"/>
      <c r="Y4" s="186" t="str">
        <f ca="1">IFERROR(VLOOKUP($C4,Calendario[],3,FALSE),"")</f>
        <v/>
      </c>
      <c r="Z4" s="239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 x14ac:dyDescent="0.25">
      <c r="A5" s="33" t="str">
        <f t="shared" ca="1" si="0"/>
        <v>Quinta</v>
      </c>
      <c r="B5" s="34" t="str">
        <f ca="1">IF($C5="",
  "",
  IFERROR(VLOOKUP($C5,Calendario[],2,FALSE),
    IF(WEEKDAY($C5,2)&gt;5,
      FIM_DE_SEMANA,
      DIA_UTIL)))</f>
        <v>DIA ÚTIL</v>
      </c>
      <c r="C5" s="35">
        <f t="shared" ca="1" si="1"/>
        <v>44533</v>
      </c>
      <c r="D5" s="216"/>
      <c r="E5" s="217"/>
      <c r="F5" s="217"/>
      <c r="G5" s="218"/>
      <c r="H5" s="157" cm="1">
        <f t="array" ref="H5">EntradaTratada($A5,$B5,$D5,$I5,TIPO_DE_PONTO,Calendario[DIA]:Calendario[TIPO])</f>
        <v>0</v>
      </c>
      <c r="I5" s="137" cm="1">
        <f t="array" ref="I5">SaidaAlmocoTratada($A5,$B5,$D5:$G5,TIPO_DE_PONTO,Calendario[DIA]:Calendario[TIPO])</f>
        <v>0</v>
      </c>
      <c r="J5" s="137" cm="1">
        <f t="array" ref="J5">RetornoAlmocoTratado($A5,$B5,$D5:$G5,TIPO_DE_PONTO,Calendario[DIA]:Calendario[TIPO])</f>
        <v>0</v>
      </c>
      <c r="K5" s="166" cm="1">
        <f t="array" ref="K5">SaidaTratada($A5,$B5,$D5:$G5,$J5,TIPO_DE_PONTO,Calendario[DIA]:Calendario[TIPO])</f>
        <v>0</v>
      </c>
      <c r="L5" s="159" cm="1">
        <f t="array" ref="L5">Round2minute(($I5-$H5)+($K5-$J5))</f>
        <v>0</v>
      </c>
      <c r="M5" s="138" cm="1">
        <f t="array" aca="1" ref="M5" ca="1">IF(OR($L5=0,$B5=FIM_DE_SEMANA,$B5=FERIADO,$B5=DISPENSADO,$B5=MEIO_COMPENSADO),
       0,
       IF(AND(TIPO_DE_PONTO="Construção",$A5="Sexta"),
           Round2minute("7:00"-$H5),
           Round2minute("7:30"-$H5)))</f>
        <v>0</v>
      </c>
      <c r="N5" s="138" cm="1">
        <f t="array" aca="1" ref="N5" ca="1">IF(OR($L5=0,$B5=FIM_DE_SEMANA,$B5=FERIADO,$B5=DISPENSADO,$B5=MEIO_COMPENSADO),
   0,
   IF(TIPO_DE_PONTO="Comercial",
     IF(AND($B5=EXPEDIENTE_CORRIDO,$K5&lt;TIMEVALUE("17:00")),
       IF($K5&lt;TIMEVALUE("13:30"),
         Round2minute($K5-"13:30"),
         0),
       Round2minute($K5-"17:00")),
     IF(AND(TIPO_DE_PONTO="Construção",$A5&lt;&gt;"Sexta"),
       IF(AND($B5=EXPEDIENTE_CORRIDO,$K5&lt;TIMEVALUE("17:30")),
         IF($K5&lt;TIMEVALUE("13:30"),
           Round2minute($K5-"13:30"),
           0),
         Round2minute($K5-"17:30")),
       IF(AND($B5=EXPEDIENTE_CORRIDO,$K5&lt;TIMEVALUE("16:30")),
         IF($K5&lt;TIMEVALUE("13:30"),
           Round2minute($K5-"13:00"),
           0),
         Round2minute($K5-"16:30")))))</f>
        <v>0</v>
      </c>
      <c r="O5" s="168" cm="1">
        <f t="array" aca="1" ref="O5" ca="1">IF(OR($L5=0,$B5=FIM_DE_SEMANA,$B5=FERIADO,$B5=DISPENSADO,$B5=MEIO_COMPENSADO),
       0,
       IF(AND($B5=EXPEDIENTE_CORRIDO,AND($I5=0,$J5=0)),
         0,
         IF(AND(TIPO_DE_PONTO="Construção",$A5&lt;&gt;"Sexta"),
           Round2minute("02:00"-($J5-$I5)),
           Round2minute("01:30"-($J5-$I5)))))</f>
        <v>0</v>
      </c>
      <c r="P5" s="79" cm="1">
        <f t="array" ref="P5">IF($L5=0,
      0,
      Round2minute((-1)*SUMIF($M5:$O5,"&lt;0")-Q5-S5-R5))</f>
        <v>0</v>
      </c>
      <c r="Q5" s="227"/>
      <c r="R5" s="229"/>
      <c r="S5" s="228"/>
      <c r="T5" s="79" cm="1">
        <f t="array" aca="1" ref="T5" ca="1">IF(OR($B5=FIM_DE_SEMANA,$B5=FERIADO,$B5=DISPENSADO,$B5=MEIO_COMPENSADO),
       Round2minute($L5-U5-V5-W5-X5),
       Round2minute(SUMIF($M5:$O5,"&gt;0")-U5-V5-W5-X5))</f>
        <v>0</v>
      </c>
      <c r="U5" s="229"/>
      <c r="V5" s="229"/>
      <c r="W5" s="229"/>
      <c r="X5" s="228"/>
      <c r="Y5" s="186" t="str">
        <f ca="1">IFERROR(VLOOKUP($C5,Calendario[],3,FALSE),"")</f>
        <v/>
      </c>
      <c r="Z5" s="239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 x14ac:dyDescent="0.25">
      <c r="A6" s="33" t="str">
        <f t="shared" ca="1" si="0"/>
        <v>Sexta</v>
      </c>
      <c r="B6" s="34" t="str">
        <f ca="1">IF($C6="",
  "",
  IFERROR(VLOOKUP($C6,Calendario[],2,FALSE),
    IF(WEEKDAY($C6,2)&gt;5,
      FIM_DE_SEMANA,
      DIA_UTIL)))</f>
        <v>DIA ÚTIL</v>
      </c>
      <c r="C6" s="35">
        <f t="shared" ca="1" si="1"/>
        <v>44534</v>
      </c>
      <c r="D6" s="216"/>
      <c r="E6" s="217"/>
      <c r="F6" s="217"/>
      <c r="G6" s="218"/>
      <c r="H6" s="157" cm="1">
        <f t="array" ref="H6">EntradaTratada($A6,$B6,$D6,$I6,TIPO_DE_PONTO,Calendario[DIA]:Calendario[TIPO])</f>
        <v>0</v>
      </c>
      <c r="I6" s="137" cm="1">
        <f t="array" ref="I6">SaidaAlmocoTratada($A6,$B6,$D6:$G6,TIPO_DE_PONTO,Calendario[DIA]:Calendario[TIPO])</f>
        <v>0</v>
      </c>
      <c r="J6" s="137" cm="1">
        <f t="array" ref="J6">RetornoAlmocoTratado($A6,$B6,$D6:$G6,TIPO_DE_PONTO,Calendario[DIA]:Calendario[TIPO])</f>
        <v>0</v>
      </c>
      <c r="K6" s="166" cm="1">
        <f t="array" ref="K6">SaidaTratada($A6,$B6,$D6:$G6,$J6,TIPO_DE_PONTO,Calendario[DIA]:Calendario[TIPO])</f>
        <v>0</v>
      </c>
      <c r="L6" s="159" cm="1">
        <f t="array" ref="L6">Round2minute(($I6-$H6)+($K6-$J6))</f>
        <v>0</v>
      </c>
      <c r="M6" s="138" cm="1">
        <f t="array" aca="1" ref="M6" ca="1">IF(OR($L6=0,$B6=FIM_DE_SEMANA,$B6=FERIADO,$B6=DISPENSADO,$B6=MEIO_COMPENSADO),
       0,
       IF(AND(TIPO_DE_PONTO="Construção",$A6="Sexta"),
           Round2minute("7:00"-$H6),
           Round2minute("7:30"-$H6)))</f>
        <v>0</v>
      </c>
      <c r="N6" s="138" cm="1">
        <f t="array" aca="1" ref="N6" ca="1">IF(OR($L6=0,$B6=FIM_DE_SEMANA,$B6=FERIADO,$B6=DISPENSADO,$B6=MEIO_COMPENSADO),
   0,
   IF(TIPO_DE_PONTO="Comercial",
     IF(AND($B6=EXPEDIENTE_CORRIDO,$K6&lt;TIMEVALUE("17:00")),
       IF($K6&lt;TIMEVALUE("13:30"),
         Round2minute($K6-"13:30"),
         0),
       Round2minute($K6-"17:00")),
     IF(AND(TIPO_DE_PONTO="Construção",$A6&lt;&gt;"Sexta"),
       IF(AND($B6=EXPEDIENTE_CORRIDO,$K6&lt;TIMEVALUE("17:30")),
         IF($K6&lt;TIMEVALUE("13:30"),
           Round2minute($K6-"13:30"),
           0),
         Round2minute($K6-"17:30")),
       IF(AND($B6=EXPEDIENTE_CORRIDO,$K6&lt;TIMEVALUE("16:30")),
         IF($K6&lt;TIMEVALUE("13:30"),
           Round2minute($K6-"13:00"),
           0),
         Round2minute($K6-"16:30")))))</f>
        <v>0</v>
      </c>
      <c r="O6" s="168" cm="1">
        <f t="array" aca="1" ref="O6" ca="1">IF(OR($L6=0,$B6=FIM_DE_SEMANA,$B6=FERIADO,$B6=DISPENSADO,$B6=MEIO_COMPENSADO),
       0,
       IF(AND($B6=EXPEDIENTE_CORRIDO,AND($I6=0,$J6=0)),
         0,
         IF(AND(TIPO_DE_PONTO="Construção",$A6&lt;&gt;"Sexta"),
           Round2minute("02:00"-($J6-$I6)),
           Round2minute("01:30"-($J6-$I6)))))</f>
        <v>0</v>
      </c>
      <c r="P6" s="79" cm="1">
        <f t="array" ref="P6">IF($L6=0,
      0,
      Round2minute((-1)*SUMIF($M6:$O6,"&lt;0")-Q6-S6-R6))</f>
        <v>0</v>
      </c>
      <c r="Q6" s="227"/>
      <c r="R6" s="229"/>
      <c r="S6" s="228"/>
      <c r="T6" s="79" cm="1">
        <f t="array" aca="1" ref="T6" ca="1">IF(OR($B6=FIM_DE_SEMANA,$B6=FERIADO,$B6=DISPENSADO,$B6=MEIO_COMPENSADO),
       Round2minute($L6-U6-V6-W6-X6),
       Round2minute(SUMIF($M6:$O6,"&gt;0")-U6-V6-W6-X6))</f>
        <v>0</v>
      </c>
      <c r="U6" s="229"/>
      <c r="V6" s="229"/>
      <c r="W6" s="229"/>
      <c r="X6" s="228"/>
      <c r="Y6" s="186" t="str">
        <f ca="1">IFERROR(VLOOKUP($C6,Calendario[],3,FALSE),"")</f>
        <v/>
      </c>
      <c r="Z6" s="239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 x14ac:dyDescent="0.25">
      <c r="A7" s="33" t="str">
        <f t="shared" ca="1" si="0"/>
        <v>Sábado</v>
      </c>
      <c r="B7" s="34" t="str">
        <f ca="1">IF($C7="",
  "",
  IFERROR(VLOOKUP($C7,Calendario[],2,FALSE),
    IF(WEEKDAY($C7,2)&gt;5,
      FIM_DE_SEMANA,
      DIA_UTIL)))</f>
        <v>FIM DE SEMANA</v>
      </c>
      <c r="C7" s="35">
        <f t="shared" ca="1" si="1"/>
        <v>44535</v>
      </c>
      <c r="D7" s="216"/>
      <c r="E7" s="217"/>
      <c r="F7" s="217"/>
      <c r="G7" s="218"/>
      <c r="H7" s="157" cm="1">
        <f t="array" ref="H7">EntradaTratada($A7,$B7,$D7,$I7,TIPO_DE_PONTO,Calendario[DIA]:Calendario[TIPO])</f>
        <v>0</v>
      </c>
      <c r="I7" s="137" cm="1">
        <f t="array" ref="I7">SaidaAlmocoTratada($A7,$B7,$D7:$G7,TIPO_DE_PONTO,Calendario[DIA]:Calendario[TIPO])</f>
        <v>0</v>
      </c>
      <c r="J7" s="137" cm="1">
        <f t="array" ref="J7">RetornoAlmocoTratado($A7,$B7,$D7:$G7,TIPO_DE_PONTO,Calendario[DIA]:Calendario[TIPO])</f>
        <v>0</v>
      </c>
      <c r="K7" s="166" cm="1">
        <f t="array" ref="K7">SaidaTratada($A7,$B7,$D7:$G7,$J7,TIPO_DE_PONTO,Calendario[DIA]:Calendario[TIPO])</f>
        <v>0</v>
      </c>
      <c r="L7" s="159" cm="1">
        <f t="array" ref="L7">Round2minute(($I7-$H7)+($K7-$J7))</f>
        <v>0</v>
      </c>
      <c r="M7" s="138" cm="1">
        <f t="array" aca="1" ref="M7" ca="1">IF(OR($L7=0,$B7=FIM_DE_SEMANA,$B7=FERIADO,$B7=DISPENSADO,$B7=MEIO_COMPENSADO),
       0,
       IF(AND(TIPO_DE_PONTO="Construção",$A7="Sexta"),
           Round2minute("7:00"-$H7),
           Round2minute("7:30"-$H7)))</f>
        <v>0</v>
      </c>
      <c r="N7" s="138" cm="1">
        <f t="array" aca="1" ref="N7" ca="1">IF(OR($L7=0,$B7=FIM_DE_SEMANA,$B7=FERIADO,$B7=DISPENSADO,$B7=MEIO_COMPENSADO),
   0,
   IF(TIPO_DE_PONTO="Comercial",
     IF(AND($B7=EXPEDIENTE_CORRIDO,$K7&lt;TIMEVALUE("17:00")),
       IF($K7&lt;TIMEVALUE("13:30"),
         Round2minute($K7-"13:30"),
         0),
       Round2minute($K7-"17:00")),
     IF(AND(TIPO_DE_PONTO="Construção",$A7&lt;&gt;"Sexta"),
       IF(AND($B7=EXPEDIENTE_CORRIDO,$K7&lt;TIMEVALUE("17:30")),
         IF($K7&lt;TIMEVALUE("13:30"),
           Round2minute($K7-"13:30"),
           0),
         Round2minute($K7-"17:30")),
       IF(AND($B7=EXPEDIENTE_CORRIDO,$K7&lt;TIMEVALUE("16:30")),
         IF($K7&lt;TIMEVALUE("13:30"),
           Round2minute($K7-"13:00"),
           0),
         Round2minute($K7-"16:30")))))</f>
        <v>0</v>
      </c>
      <c r="O7" s="168" cm="1">
        <f t="array" aca="1" ref="O7" ca="1">IF(OR($L7=0,$B7=FIM_DE_SEMANA,$B7=FERIADO,$B7=DISPENSADO,$B7=MEIO_COMPENSADO),
       0,
       IF(AND($B7=EXPEDIENTE_CORRIDO,AND($I7=0,$J7=0)),
         0,
         IF(AND(TIPO_DE_PONTO="Construção",$A7&lt;&gt;"Sexta"),
           Round2minute("02:00"-($J7-$I7)),
           Round2minute("01:30"-($J7-$I7)))))</f>
        <v>0</v>
      </c>
      <c r="P7" s="79" cm="1">
        <f t="array" ref="P7">IF($L7=0,
      0,
      Round2minute((-1)*SUMIF($M7:$O7,"&lt;0")-Q7-S7-R7))</f>
        <v>0</v>
      </c>
      <c r="Q7" s="227"/>
      <c r="R7" s="229"/>
      <c r="S7" s="228"/>
      <c r="T7" s="79" cm="1">
        <f t="array" aca="1" ref="T7" ca="1">IF(OR($B7=FIM_DE_SEMANA,$B7=FERIADO,$B7=DISPENSADO,$B7=MEIO_COMPENSADO),
       Round2minute($L7-U7-V7-W7-X7),
       Round2minute(SUMIF($M7:$O7,"&gt;0")-U7-V7-W7-X7))</f>
        <v>0</v>
      </c>
      <c r="U7" s="229"/>
      <c r="V7" s="229"/>
      <c r="W7" s="229"/>
      <c r="X7" s="228"/>
      <c r="Y7" s="186" t="str">
        <f ca="1">IFERROR(VLOOKUP($C7,Calendario[],3,FALSE),"")</f>
        <v/>
      </c>
      <c r="Z7" s="239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 x14ac:dyDescent="0.25">
      <c r="A8" s="33" t="str">
        <f t="shared" ca="1" si="0"/>
        <v>Domingo</v>
      </c>
      <c r="B8" s="34" t="str">
        <f ca="1">IF($C8="",
  "",
  IFERROR(VLOOKUP($C8,Calendario[],2,FALSE),
    IF(WEEKDAY($C8,2)&gt;5,
      FIM_DE_SEMANA,
      DIA_UTIL)))</f>
        <v>FIM DE SEMANA</v>
      </c>
      <c r="C8" s="35">
        <f t="shared" ca="1" si="1"/>
        <v>44536</v>
      </c>
      <c r="D8" s="216"/>
      <c r="E8" s="217"/>
      <c r="F8" s="217"/>
      <c r="G8" s="218"/>
      <c r="H8" s="157" cm="1">
        <f t="array" ref="H8">EntradaTratada($A8,$B8,$D8,$I8,TIPO_DE_PONTO,Calendario[DIA]:Calendario[TIPO])</f>
        <v>0</v>
      </c>
      <c r="I8" s="137" cm="1">
        <f t="array" ref="I8">SaidaAlmocoTratada($A8,$B8,$D8:$G8,TIPO_DE_PONTO,Calendario[DIA]:Calendario[TIPO])</f>
        <v>0</v>
      </c>
      <c r="J8" s="137" cm="1">
        <f t="array" ref="J8">RetornoAlmocoTratado($A8,$B8,$D8:$G8,TIPO_DE_PONTO,Calendario[DIA]:Calendario[TIPO])</f>
        <v>0</v>
      </c>
      <c r="K8" s="166" cm="1">
        <f t="array" ref="K8">SaidaTratada($A8,$B8,$D8:$G8,$J8,TIPO_DE_PONTO,Calendario[DIA]:Calendario[TIPO])</f>
        <v>0</v>
      </c>
      <c r="L8" s="159" cm="1">
        <f t="array" ref="L8">Round2minute(($I8-$H8)+($K8-$J8))</f>
        <v>0</v>
      </c>
      <c r="M8" s="138" cm="1">
        <f t="array" aca="1" ref="M8" ca="1">IF(OR($L8=0,$B8=FIM_DE_SEMANA,$B8=FERIADO,$B8=DISPENSADO,$B8=MEIO_COMPENSADO),
       0,
       IF(AND(TIPO_DE_PONTO="Construção",$A8="Sexta"),
           Round2minute("7:00"-$H8),
           Round2minute("7:30"-$H8)))</f>
        <v>0</v>
      </c>
      <c r="N8" s="138" cm="1">
        <f t="array" aca="1" ref="N8" ca="1">IF(OR($L8=0,$B8=FIM_DE_SEMANA,$B8=FERIADO,$B8=DISPENSADO,$B8=MEIO_COMPENSADO),
   0,
   IF(TIPO_DE_PONTO="Comercial",
     IF(AND($B8=EXPEDIENTE_CORRIDO,$K8&lt;TIMEVALUE("17:00")),
       IF($K8&lt;TIMEVALUE("13:30"),
         Round2minute($K8-"13:30"),
         0),
       Round2minute($K8-"17:00")),
     IF(AND(TIPO_DE_PONTO="Construção",$A8&lt;&gt;"Sexta"),
       IF(AND($B8=EXPEDIENTE_CORRIDO,$K8&lt;TIMEVALUE("17:30")),
         IF($K8&lt;TIMEVALUE("13:30"),
           Round2minute($K8-"13:30"),
           0),
         Round2minute($K8-"17:30")),
       IF(AND($B8=EXPEDIENTE_CORRIDO,$K8&lt;TIMEVALUE("16:30")),
         IF($K8&lt;TIMEVALUE("13:30"),
           Round2minute($K8-"13:00"),
           0),
         Round2minute($K8-"16:30")))))</f>
        <v>0</v>
      </c>
      <c r="O8" s="168" cm="1">
        <f t="array" aca="1" ref="O8" ca="1">IF(OR($L8=0,$B8=FIM_DE_SEMANA,$B8=FERIADO,$B8=DISPENSADO,$B8=MEIO_COMPENSADO),
       0,
       IF(AND($B8=EXPEDIENTE_CORRIDO,AND($I8=0,$J8=0)),
         0,
         IF(AND(TIPO_DE_PONTO="Construção",$A8&lt;&gt;"Sexta"),
           Round2minute("02:00"-($J8-$I8)),
           Round2minute("01:30"-($J8-$I8)))))</f>
        <v>0</v>
      </c>
      <c r="P8" s="79" cm="1">
        <f t="array" ref="P8">IF($L8=0,
      0,
      Round2minute((-1)*SUMIF($M8:$O8,"&lt;0")-Q8-S8-R8))</f>
        <v>0</v>
      </c>
      <c r="Q8" s="227"/>
      <c r="R8" s="229"/>
      <c r="S8" s="228"/>
      <c r="T8" s="79" cm="1">
        <f t="array" aca="1" ref="T8" ca="1">IF(OR($B8=FIM_DE_SEMANA,$B8=FERIADO,$B8=DISPENSADO,$B8=MEIO_COMPENSADO),
       Round2minute($L8-U8-V8-W8-X8),
       Round2minute(SUMIF($M8:$O8,"&gt;0")-U8-V8-W8-X8))</f>
        <v>0</v>
      </c>
      <c r="U8" s="229"/>
      <c r="V8" s="229"/>
      <c r="W8" s="234"/>
      <c r="X8" s="235"/>
      <c r="Y8" s="186" t="str">
        <f ca="1">IFERROR(VLOOKUP($C8,Calendario[],3,FALSE),"")</f>
        <v/>
      </c>
      <c r="Z8" s="239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 x14ac:dyDescent="0.25">
      <c r="A9" s="33" t="str">
        <f t="shared" ca="1" si="0"/>
        <v>Segunda</v>
      </c>
      <c r="B9" s="34" t="str">
        <f ca="1">IF($C9="",
  "",
  IFERROR(VLOOKUP($C9,Calendario[],2,FALSE),
    IF(WEEKDAY($C9,2)&gt;5,
      FIM_DE_SEMANA,
      DIA_UTIL)))</f>
        <v>FERIADO</v>
      </c>
      <c r="C9" s="35">
        <f t="shared" ca="1" si="1"/>
        <v>44537</v>
      </c>
      <c r="D9" s="216"/>
      <c r="E9" s="217"/>
      <c r="F9" s="217"/>
      <c r="G9" s="218"/>
      <c r="H9" s="157" cm="1">
        <f t="array" ref="H9">EntradaTratada($A9,$B9,$D9,$I9,TIPO_DE_PONTO,Calendario[DIA]:Calendario[TIPO])</f>
        <v>0</v>
      </c>
      <c r="I9" s="137" cm="1">
        <f t="array" ref="I9">SaidaAlmocoTratada($A9,$B9,$D9:$G9,TIPO_DE_PONTO,Calendario[DIA]:Calendario[TIPO])</f>
        <v>0</v>
      </c>
      <c r="J9" s="137" cm="1">
        <f t="array" ref="J9">RetornoAlmocoTratado($A9,$B9,$D9:$G9,TIPO_DE_PONTO,Calendario[DIA]:Calendario[TIPO])</f>
        <v>0</v>
      </c>
      <c r="K9" s="166" cm="1">
        <f t="array" ref="K9">SaidaTratada($A9,$B9,$D9:$G9,$J9,TIPO_DE_PONTO,Calendario[DIA]:Calendario[TIPO])</f>
        <v>0</v>
      </c>
      <c r="L9" s="159" cm="1">
        <f t="array" ref="L9">Round2minute(($I9-$H9)+($K9-$J9))</f>
        <v>0</v>
      </c>
      <c r="M9" s="138" cm="1">
        <f t="array" aca="1" ref="M9" ca="1">IF(OR($L9=0,$B9=FIM_DE_SEMANA,$B9=FERIADO,$B9=DISPENSADO,$B9=MEIO_COMPENSADO),
       0,
       IF(AND(TIPO_DE_PONTO="Construção",$A9="Sexta"),
           Round2minute("7:00"-$H9),
           Round2minute("7:30"-$H9)))</f>
        <v>0</v>
      </c>
      <c r="N9" s="138" cm="1">
        <f t="array" aca="1" ref="N9" ca="1">IF(OR($L9=0,$B9=FIM_DE_SEMANA,$B9=FERIADO,$B9=DISPENSADO,$B9=MEIO_COMPENSADO),
   0,
   IF(TIPO_DE_PONTO="Comercial",
     IF(AND($B9=EXPEDIENTE_CORRIDO,$K9&lt;TIMEVALUE("17:00")),
       IF($K9&lt;TIMEVALUE("13:30"),
         Round2minute($K9-"13:30"),
         0),
       Round2minute($K9-"17:00")),
     IF(AND(TIPO_DE_PONTO="Construção",$A9&lt;&gt;"Sexta"),
       IF(AND($B9=EXPEDIENTE_CORRIDO,$K9&lt;TIMEVALUE("17:30")),
         IF($K9&lt;TIMEVALUE("13:30"),
           Round2minute($K9-"13:30"),
           0),
         Round2minute($K9-"17:30")),
       IF(AND($B9=EXPEDIENTE_CORRIDO,$K9&lt;TIMEVALUE("16:30")),
         IF($K9&lt;TIMEVALUE("13:30"),
           Round2minute($K9-"13:00"),
           0),
         Round2minute($K9-"16:30")))))</f>
        <v>0</v>
      </c>
      <c r="O9" s="168" cm="1">
        <f t="array" aca="1" ref="O9" ca="1">IF(OR($L9=0,$B9=FIM_DE_SEMANA,$B9=FERIADO,$B9=DISPENSADO,$B9=MEIO_COMPENSADO),
       0,
       IF(AND($B9=EXPEDIENTE_CORRIDO,AND($I9=0,$J9=0)),
         0,
         IF(AND(TIPO_DE_PONTO="Construção",$A9&lt;&gt;"Sexta"),
           Round2minute("02:00"-($J9-$I9)),
           Round2minute("01:30"-($J9-$I9)))))</f>
        <v>0</v>
      </c>
      <c r="P9" s="79" cm="1">
        <f t="array" ref="P9">IF($L9=0,
      0,
      Round2minute((-1)*SUMIF($M9:$O9,"&lt;0")-Q9-S9-R9))</f>
        <v>0</v>
      </c>
      <c r="Q9" s="227"/>
      <c r="R9" s="229"/>
      <c r="S9" s="228"/>
      <c r="T9" s="79" cm="1">
        <f t="array" aca="1" ref="T9" ca="1">IF(OR($B9=FIM_DE_SEMANA,$B9=FERIADO,$B9=DISPENSADO,$B9=MEIO_COMPENSADO),
       Round2minute($L9-U9-V9-W9-X9),
       Round2minute(SUMIF($M9:$O9,"&gt;0")-U9-V9-W9-X9))</f>
        <v>0</v>
      </c>
      <c r="U9" s="229"/>
      <c r="V9" s="229"/>
      <c r="W9" s="234"/>
      <c r="X9" s="235"/>
      <c r="Y9" s="186" t="str">
        <f ca="1">IFERROR(VLOOKUP($C9,Calendario[],3,FALSE),"")</f>
        <v>Imaculada Conceição - Feriado Municipal</v>
      </c>
      <c r="Z9" s="239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 x14ac:dyDescent="0.25">
      <c r="A10" s="33" t="str">
        <f t="shared" ca="1" si="0"/>
        <v>Terça</v>
      </c>
      <c r="B10" s="34" t="str">
        <f ca="1">IF($C10="",
  "",
  IFERROR(VLOOKUP($C10,Calendario[],2,FALSE),
    IF(WEEKDAY($C10,2)&gt;5,
      FIM_DE_SEMANA,
      DIA_UTIL)))</f>
        <v>DIA ÚTIL</v>
      </c>
      <c r="C10" s="35">
        <f t="shared" ca="1" si="1"/>
        <v>44538</v>
      </c>
      <c r="D10" s="216"/>
      <c r="E10" s="217"/>
      <c r="F10" s="217"/>
      <c r="G10" s="218"/>
      <c r="H10" s="157" cm="1">
        <f t="array" ref="H10">EntradaTratada($A10,$B10,$D10,$I10,TIPO_DE_PONTO,Calendario[DIA]:Calendario[TIPO])</f>
        <v>0</v>
      </c>
      <c r="I10" s="137" cm="1">
        <f t="array" ref="I10">SaidaAlmocoTratada($A10,$B10,$D10:$G10,TIPO_DE_PONTO,Calendario[DIA]:Calendario[TIPO])</f>
        <v>0</v>
      </c>
      <c r="J10" s="137" cm="1">
        <f t="array" ref="J10">RetornoAlmocoTratado($A10,$B10,$D10:$G10,TIPO_DE_PONTO,Calendario[DIA]:Calendario[TIPO])</f>
        <v>0</v>
      </c>
      <c r="K10" s="166" cm="1">
        <f t="array" ref="K10">SaidaTratada($A10,$B10,$D10:$G10,$J10,TIPO_DE_PONTO,Calendario[DIA]:Calendario[TIPO])</f>
        <v>0</v>
      </c>
      <c r="L10" s="159" cm="1">
        <f t="array" ref="L10">Round2minute(($I10-$H10)+($K10-$J10))</f>
        <v>0</v>
      </c>
      <c r="M10" s="138" cm="1">
        <f t="array" aca="1" ref="M10" ca="1">IF(OR($L10=0,$B10=FIM_DE_SEMANA,$B10=FERIADO,$B10=DISPENSADO,$B10=MEIO_COMPENSADO),
       0,
       IF(AND(TIPO_DE_PONTO="Construção",$A10="Sexta"),
           Round2minute("7:00"-$H10),
           Round2minute("7:30"-$H10)))</f>
        <v>0</v>
      </c>
      <c r="N10" s="138" cm="1">
        <f t="array" aca="1" ref="N10" ca="1">IF(OR($L10=0,$B10=FIM_DE_SEMANA,$B10=FERIADO,$B10=DISPENSADO,$B10=MEIO_COMPENSADO),
   0,
   IF(TIPO_DE_PONTO="Comercial",
     IF(AND($B10=EXPEDIENTE_CORRIDO,$K10&lt;TIMEVALUE("17:00")),
       IF($K10&lt;TIMEVALUE("13:30"),
         Round2minute($K10-"13:30"),
         0),
       Round2minute($K10-"17:00")),
     IF(AND(TIPO_DE_PONTO="Construção",$A10&lt;&gt;"Sexta"),
       IF(AND($B10=EXPEDIENTE_CORRIDO,$K10&lt;TIMEVALUE("17:30")),
         IF($K10&lt;TIMEVALUE("13:30"),
           Round2minute($K10-"13:30"),
           0),
         Round2minute($K10-"17:30")),
       IF(AND($B10=EXPEDIENTE_CORRIDO,$K10&lt;TIMEVALUE("16:30")),
         IF($K10&lt;TIMEVALUE("13:30"),
           Round2minute($K10-"13:00"),
           0),
         Round2minute($K10-"16:30")))))</f>
        <v>0</v>
      </c>
      <c r="O10" s="168" cm="1">
        <f t="array" aca="1" ref="O10" ca="1">IF(OR($L10=0,$B10=FIM_DE_SEMANA,$B10=FERIADO,$B10=DISPENSADO,$B10=MEIO_COMPENSADO),
       0,
       IF(AND($B10=EXPEDIENTE_CORRIDO,AND($I10=0,$J10=0)),
         0,
         IF(AND(TIPO_DE_PONTO="Construção",$A10&lt;&gt;"Sexta"),
           Round2minute("02:00"-($J10-$I10)),
           Round2minute("01:30"-($J10-$I10)))))</f>
        <v>0</v>
      </c>
      <c r="P10" s="79" cm="1">
        <f t="array" ref="P10">IF($L10=0,
      0,
      Round2minute((-1)*SUMIF($M10:$O10,"&lt;0")-Q10-S10-R10))</f>
        <v>0</v>
      </c>
      <c r="Q10" s="227"/>
      <c r="R10" s="229"/>
      <c r="S10" s="228"/>
      <c r="T10" s="79" cm="1">
        <f t="array" aca="1" ref="T10" ca="1">IF(OR($B10=FIM_DE_SEMANA,$B10=FERIADO,$B10=DISPENSADO,$B10=MEIO_COMPENSADO),
       Round2minute($L10-U10-V10-W10-X10),
       Round2minute(SUMIF($M10:$O10,"&gt;0")-U10-V10-W10-X10))</f>
        <v>0</v>
      </c>
      <c r="U10" s="229"/>
      <c r="V10" s="229"/>
      <c r="W10" s="229"/>
      <c r="X10" s="228"/>
      <c r="Y10" s="186" t="str">
        <f ca="1">IFERROR(VLOOKUP($C10,Calendario[],3,FALSE),"")</f>
        <v/>
      </c>
      <c r="Z10" s="239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 x14ac:dyDescent="0.25">
      <c r="A11" s="33" t="str">
        <f t="shared" ca="1" si="0"/>
        <v>Quarta</v>
      </c>
      <c r="B11" s="34" t="str">
        <f ca="1">IF($C11="",
  "",
  IFERROR(VLOOKUP($C11,Calendario[],2,FALSE),
    IF(WEEKDAY($C11,2)&gt;5,
      FIM_DE_SEMANA,
      DIA_UTIL)))</f>
        <v>DIA ÚTIL</v>
      </c>
      <c r="C11" s="35">
        <f t="shared" ca="1" si="1"/>
        <v>44539</v>
      </c>
      <c r="D11" s="216"/>
      <c r="E11" s="217"/>
      <c r="F11" s="217"/>
      <c r="G11" s="218"/>
      <c r="H11" s="157" cm="1">
        <f t="array" ref="H11">EntradaTratada($A11,$B11,$D11,$I11,TIPO_DE_PONTO,Calendario[DIA]:Calendario[TIPO])</f>
        <v>0</v>
      </c>
      <c r="I11" s="137" cm="1">
        <f t="array" ref="I11">SaidaAlmocoTratada($A11,$B11,$D11:$G11,TIPO_DE_PONTO,Calendario[DIA]:Calendario[TIPO])</f>
        <v>0</v>
      </c>
      <c r="J11" s="137" cm="1">
        <f t="array" ref="J11">RetornoAlmocoTratado($A11,$B11,$D11:$G11,TIPO_DE_PONTO,Calendario[DIA]:Calendario[TIPO])</f>
        <v>0</v>
      </c>
      <c r="K11" s="166" cm="1">
        <f t="array" ref="K11">SaidaTratada($A11,$B11,$D11:$G11,$J11,TIPO_DE_PONTO,Calendario[DIA]:Calendario[TIPO])</f>
        <v>0</v>
      </c>
      <c r="L11" s="159" cm="1">
        <f t="array" ref="L11">Round2minute(($I11-$H11)+($K11-$J11))</f>
        <v>0</v>
      </c>
      <c r="M11" s="138" cm="1">
        <f t="array" aca="1" ref="M11" ca="1">IF(OR($L11=0,$B11=FIM_DE_SEMANA,$B11=FERIADO,$B11=DISPENSADO,$B11=MEIO_COMPENSADO),
       0,
       IF(AND(TIPO_DE_PONTO="Construção",$A11="Sexta"),
           Round2minute("7:00"-$H11),
           Round2minute("7:30"-$H11)))</f>
        <v>0</v>
      </c>
      <c r="N11" s="138" cm="1">
        <f t="array" aca="1" ref="N11" ca="1">IF(OR($L11=0,$B11=FIM_DE_SEMANA,$B11=FERIADO,$B11=DISPENSADO,$B11=MEIO_COMPENSADO),
   0,
   IF(TIPO_DE_PONTO="Comercial",
     IF(AND($B11=EXPEDIENTE_CORRIDO,$K11&lt;TIMEVALUE("17:00")),
       IF($K11&lt;TIMEVALUE("13:30"),
         Round2minute($K11-"13:30"),
         0),
       Round2minute($K11-"17:00")),
     IF(AND(TIPO_DE_PONTO="Construção",$A11&lt;&gt;"Sexta"),
       IF(AND($B11=EXPEDIENTE_CORRIDO,$K11&lt;TIMEVALUE("17:30")),
         IF($K11&lt;TIMEVALUE("13:30"),
           Round2minute($K11-"13:30"),
           0),
         Round2minute($K11-"17:30")),
       IF(AND($B11=EXPEDIENTE_CORRIDO,$K11&lt;TIMEVALUE("16:30")),
         IF($K11&lt;TIMEVALUE("13:30"),
           Round2minute($K11-"13:00"),
           0),
         Round2minute($K11-"16:30")))))</f>
        <v>0</v>
      </c>
      <c r="O11" s="168" cm="1">
        <f t="array" aca="1" ref="O11" ca="1">IF(OR($L11=0,$B11=FIM_DE_SEMANA,$B11=FERIADO,$B11=DISPENSADO,$B11=MEIO_COMPENSADO),
       0,
       IF(AND($B11=EXPEDIENTE_CORRIDO,AND($I11=0,$J11=0)),
         0,
         IF(AND(TIPO_DE_PONTO="Construção",$A11&lt;&gt;"Sexta"),
           Round2minute("02:00"-($J11-$I11)),
           Round2minute("01:30"-($J11-$I11)))))</f>
        <v>0</v>
      </c>
      <c r="P11" s="79" cm="1">
        <f t="array" ref="P11">IF($L11=0,
      0,
      Round2minute((-1)*SUMIF($M11:$O11,"&lt;0")-Q11-S11-R11))</f>
        <v>0</v>
      </c>
      <c r="Q11" s="227"/>
      <c r="R11" s="229"/>
      <c r="S11" s="228"/>
      <c r="T11" s="79" cm="1">
        <f t="array" aca="1" ref="T11" ca="1">IF(OR($B11=FIM_DE_SEMANA,$B11=FERIADO,$B11=DISPENSADO,$B11=MEIO_COMPENSADO),
       Round2minute($L11-U11-V11-W11-X11),
       Round2minute(SUMIF($M11:$O11,"&gt;0")-U11-V11-W11-X11))</f>
        <v>0</v>
      </c>
      <c r="U11" s="229"/>
      <c r="V11" s="229"/>
      <c r="W11" s="229"/>
      <c r="X11" s="228"/>
      <c r="Y11" s="186" t="str">
        <f ca="1">IFERROR(VLOOKUP($C11,Calendario[],3,FALSE),"")</f>
        <v/>
      </c>
      <c r="Z11" s="239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 x14ac:dyDescent="0.25">
      <c r="A12" s="33" t="str">
        <f t="shared" ca="1" si="0"/>
        <v>Quinta</v>
      </c>
      <c r="B12" s="34" t="str">
        <f ca="1">IF($C12="",
  "",
  IFERROR(VLOOKUP($C12,Calendario[],2,FALSE),
    IF(WEEKDAY($C12,2)&gt;5,
      FIM_DE_SEMANA,
      DIA_UTIL)))</f>
        <v>DIA ÚTIL</v>
      </c>
      <c r="C12" s="35">
        <f t="shared" ca="1" si="1"/>
        <v>44540</v>
      </c>
      <c r="D12" s="216"/>
      <c r="E12" s="217"/>
      <c r="F12" s="217"/>
      <c r="G12" s="218"/>
      <c r="H12" s="157" cm="1">
        <f t="array" ref="H12">EntradaTratada($A12,$B12,$D12,$I12,TIPO_DE_PONTO,Calendario[DIA]:Calendario[TIPO])</f>
        <v>0</v>
      </c>
      <c r="I12" s="137" cm="1">
        <f t="array" ref="I12">SaidaAlmocoTratada($A12,$B12,$D12:$G12,TIPO_DE_PONTO,Calendario[DIA]:Calendario[TIPO])</f>
        <v>0</v>
      </c>
      <c r="J12" s="137" cm="1">
        <f t="array" ref="J12">RetornoAlmocoTratado($A12,$B12,$D12:$G12,TIPO_DE_PONTO,Calendario[DIA]:Calendario[TIPO])</f>
        <v>0</v>
      </c>
      <c r="K12" s="166" cm="1">
        <f t="array" ref="K12">SaidaTratada($A12,$B12,$D12:$G12,$J12,TIPO_DE_PONTO,Calendario[DIA]:Calendario[TIPO])</f>
        <v>0</v>
      </c>
      <c r="L12" s="159" cm="1">
        <f t="array" ref="L12">Round2minute(($I12-$H12)+($K12-$J12))</f>
        <v>0</v>
      </c>
      <c r="M12" s="138" cm="1">
        <f t="array" aca="1" ref="M12" ca="1">IF(OR($L12=0,$B12=FIM_DE_SEMANA,$B12=FERIADO,$B12=DISPENSADO,$B12=MEIO_COMPENSADO),
       0,
       IF(AND(TIPO_DE_PONTO="Construção",$A12="Sexta"),
           Round2minute("7:00"-$H12),
           Round2minute("7:30"-$H12)))</f>
        <v>0</v>
      </c>
      <c r="N12" s="138" cm="1">
        <f t="array" aca="1" ref="N12" ca="1">IF(OR($L12=0,$B12=FIM_DE_SEMANA,$B12=FERIADO,$B12=DISPENSADO,$B12=MEIO_COMPENSADO),
   0,
   IF(TIPO_DE_PONTO="Comercial",
     IF(AND($B12=EXPEDIENTE_CORRIDO,$K12&lt;TIMEVALUE("17:00")),
       IF($K12&lt;TIMEVALUE("13:30"),
         Round2minute($K12-"13:30"),
         0),
       Round2minute($K12-"17:00")),
     IF(AND(TIPO_DE_PONTO="Construção",$A12&lt;&gt;"Sexta"),
       IF(AND($B12=EXPEDIENTE_CORRIDO,$K12&lt;TIMEVALUE("17:30")),
         IF($K12&lt;TIMEVALUE("13:30"),
           Round2minute($K12-"13:30"),
           0),
         Round2minute($K12-"17:30")),
       IF(AND($B12=EXPEDIENTE_CORRIDO,$K12&lt;TIMEVALUE("16:30")),
         IF($K12&lt;TIMEVALUE("13:30"),
           Round2minute($K12-"13:00"),
           0),
         Round2minute($K12-"16:30")))))</f>
        <v>0</v>
      </c>
      <c r="O12" s="168" cm="1">
        <f t="array" aca="1" ref="O12" ca="1">IF(OR($L12=0,$B12=FIM_DE_SEMANA,$B12=FERIADO,$B12=DISPENSADO,$B12=MEIO_COMPENSADO),
       0,
       IF(AND($B12=EXPEDIENTE_CORRIDO,AND($I12=0,$J12=0)),
         0,
         IF(AND(TIPO_DE_PONTO="Construção",$A12&lt;&gt;"Sexta"),
           Round2minute("02:00"-($J12-$I12)),
           Round2minute("01:30"-($J12-$I12)))))</f>
        <v>0</v>
      </c>
      <c r="P12" s="79" cm="1">
        <f t="array" ref="P12">IF($L12=0,
      0,
      Round2minute((-1)*SUMIF($M12:$O12,"&lt;0")-Q12-S12-R12))</f>
        <v>0</v>
      </c>
      <c r="Q12" s="227"/>
      <c r="R12" s="229"/>
      <c r="S12" s="228"/>
      <c r="T12" s="79" cm="1">
        <f t="array" aca="1" ref="T12" ca="1">IF(OR($B12=FIM_DE_SEMANA,$B12=FERIADO,$B12=DISPENSADO,$B12=MEIO_COMPENSADO),
       Round2minute($L12-U12-V12-W12-X12),
       Round2minute(SUMIF($M12:$O12,"&gt;0")-U12-V12-W12-X12))</f>
        <v>0</v>
      </c>
      <c r="U12" s="229"/>
      <c r="V12" s="229"/>
      <c r="W12" s="229"/>
      <c r="X12" s="228"/>
      <c r="Y12" s="186" t="str">
        <f ca="1">IFERROR(VLOOKUP($C12,Calendario[],3,FALSE),"")</f>
        <v/>
      </c>
      <c r="Z12" s="239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 x14ac:dyDescent="0.25">
      <c r="A13" s="33" t="str">
        <f t="shared" ca="1" si="0"/>
        <v>Sexta</v>
      </c>
      <c r="B13" s="34" t="str">
        <f ca="1">IF($C13="",
  "",
  IFERROR(VLOOKUP($C13,Calendario[],2,FALSE),
    IF(WEEKDAY($C13,2)&gt;5,
      FIM_DE_SEMANA,
      DIA_UTIL)))</f>
        <v>DIA ÚTIL</v>
      </c>
      <c r="C13" s="35">
        <f t="shared" ca="1" si="1"/>
        <v>44541</v>
      </c>
      <c r="D13" s="216"/>
      <c r="E13" s="217"/>
      <c r="F13" s="217"/>
      <c r="G13" s="218"/>
      <c r="H13" s="157" cm="1">
        <f t="array" ref="H13">EntradaTratada($A13,$B13,$D13,$I13,TIPO_DE_PONTO,Calendario[DIA]:Calendario[TIPO])</f>
        <v>0</v>
      </c>
      <c r="I13" s="137" cm="1">
        <f t="array" ref="I13">SaidaAlmocoTratada($A13,$B13,$D13:$G13,TIPO_DE_PONTO,Calendario[DIA]:Calendario[TIPO])</f>
        <v>0</v>
      </c>
      <c r="J13" s="137" cm="1">
        <f t="array" ref="J13">RetornoAlmocoTratado($A13,$B13,$D13:$G13,TIPO_DE_PONTO,Calendario[DIA]:Calendario[TIPO])</f>
        <v>0</v>
      </c>
      <c r="K13" s="166" cm="1">
        <f t="array" ref="K13">SaidaTratada($A13,$B13,$D13:$G13,$J13,TIPO_DE_PONTO,Calendario[DIA]:Calendario[TIPO])</f>
        <v>0</v>
      </c>
      <c r="L13" s="159" cm="1">
        <f t="array" ref="L13">Round2minute(($I13-$H13)+($K13-$J13))</f>
        <v>0</v>
      </c>
      <c r="M13" s="138" cm="1">
        <f t="array" aca="1" ref="M13" ca="1">IF(OR($L13=0,$B13=FIM_DE_SEMANA,$B13=FERIADO,$B13=DISPENSADO,$B13=MEIO_COMPENSADO),
       0,
       IF(AND(TIPO_DE_PONTO="Construção",$A13="Sexta"),
           Round2minute("7:00"-$H13),
           Round2minute("7:30"-$H13)))</f>
        <v>0</v>
      </c>
      <c r="N13" s="138" cm="1">
        <f t="array" aca="1" ref="N13" ca="1">IF(OR($L13=0,$B13=FIM_DE_SEMANA,$B13=FERIADO,$B13=DISPENSADO,$B13=MEIO_COMPENSADO),
   0,
   IF(TIPO_DE_PONTO="Comercial",
     IF(AND($B13=EXPEDIENTE_CORRIDO,$K13&lt;TIMEVALUE("17:00")),
       IF($K13&lt;TIMEVALUE("13:30"),
         Round2minute($K13-"13:30"),
         0),
       Round2minute($K13-"17:00")),
     IF(AND(TIPO_DE_PONTO="Construção",$A13&lt;&gt;"Sexta"),
       IF(AND($B13=EXPEDIENTE_CORRIDO,$K13&lt;TIMEVALUE("17:30")),
         IF($K13&lt;TIMEVALUE("13:30"),
           Round2minute($K13-"13:30"),
           0),
         Round2minute($K13-"17:30")),
       IF(AND($B13=EXPEDIENTE_CORRIDO,$K13&lt;TIMEVALUE("16:30")),
         IF($K13&lt;TIMEVALUE("13:30"),
           Round2minute($K13-"13:00"),
           0),
         Round2minute($K13-"16:30")))))</f>
        <v>0</v>
      </c>
      <c r="O13" s="168" cm="1">
        <f t="array" aca="1" ref="O13" ca="1">IF(OR($L13=0,$B13=FIM_DE_SEMANA,$B13=FERIADO,$B13=DISPENSADO,$B13=MEIO_COMPENSADO),
       0,
       IF(AND($B13=EXPEDIENTE_CORRIDO,AND($I13=0,$J13=0)),
         0,
         IF(AND(TIPO_DE_PONTO="Construção",$A13&lt;&gt;"Sexta"),
           Round2minute("02:00"-($J13-$I13)),
           Round2minute("01:30"-($J13-$I13)))))</f>
        <v>0</v>
      </c>
      <c r="P13" s="79" cm="1">
        <f t="array" ref="P13">IF($L13=0,
      0,
      Round2minute((-1)*SUMIF($M13:$O13,"&lt;0")-Q13-S13-R13))</f>
        <v>0</v>
      </c>
      <c r="Q13" s="227"/>
      <c r="R13" s="229"/>
      <c r="S13" s="228"/>
      <c r="T13" s="79" cm="1">
        <f t="array" aca="1" ref="T13" ca="1">IF(OR($B13=FIM_DE_SEMANA,$B13=FERIADO,$B13=DISPENSADO,$B13=MEIO_COMPENSADO),
       Round2minute($L13-U13-V13-W13-X13),
       Round2minute(SUMIF($M13:$O13,"&gt;0")-U13-V13-W13-X13))</f>
        <v>0</v>
      </c>
      <c r="U13" s="229"/>
      <c r="V13" s="229"/>
      <c r="W13" s="229"/>
      <c r="X13" s="228"/>
      <c r="Y13" s="186" t="str">
        <f ca="1">IFERROR(VLOOKUP($C13,Calendario[],3,FALSE),"")</f>
        <v/>
      </c>
      <c r="Z13" s="239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 x14ac:dyDescent="0.25">
      <c r="A14" s="33" t="str">
        <f t="shared" ca="1" si="0"/>
        <v>Sábado</v>
      </c>
      <c r="B14" s="34" t="str">
        <f ca="1">IF($C14="",
  "",
  IFERROR(VLOOKUP($C14,Calendario[],2,FALSE),
    IF(WEEKDAY($C14,2)&gt;5,
      FIM_DE_SEMANA,
      DIA_UTIL)))</f>
        <v>FIM DE SEMANA</v>
      </c>
      <c r="C14" s="35">
        <f t="shared" ca="1" si="1"/>
        <v>44542</v>
      </c>
      <c r="D14" s="216"/>
      <c r="E14" s="217"/>
      <c r="F14" s="217"/>
      <c r="G14" s="218"/>
      <c r="H14" s="157" cm="1">
        <f t="array" ref="H14">EntradaTratada($A14,$B14,$D14,$I14,TIPO_DE_PONTO,Calendario[DIA]:Calendario[TIPO])</f>
        <v>0</v>
      </c>
      <c r="I14" s="137" cm="1">
        <f t="array" ref="I14">SaidaAlmocoTratada($A14,$B14,$D14:$G14,TIPO_DE_PONTO,Calendario[DIA]:Calendario[TIPO])</f>
        <v>0</v>
      </c>
      <c r="J14" s="137" cm="1">
        <f t="array" ref="J14">RetornoAlmocoTratado($A14,$B14,$D14:$G14,TIPO_DE_PONTO,Calendario[DIA]:Calendario[TIPO])</f>
        <v>0</v>
      </c>
      <c r="K14" s="166" cm="1">
        <f t="array" ref="K14">SaidaTratada($A14,$B14,$D14:$G14,$J14,TIPO_DE_PONTO,Calendario[DIA]:Calendario[TIPO])</f>
        <v>0</v>
      </c>
      <c r="L14" s="159" cm="1">
        <f t="array" ref="L14">Round2minute(($I14-$H14)+($K14-$J14))</f>
        <v>0</v>
      </c>
      <c r="M14" s="138" cm="1">
        <f t="array" aca="1" ref="M14" ca="1">IF(OR($L14=0,$B14=FIM_DE_SEMANA,$B14=FERIADO,$B14=DISPENSADO,$B14=MEIO_COMPENSADO),
       0,
       IF(AND(TIPO_DE_PONTO="Construção",$A14="Sexta"),
           Round2minute("7:00"-$H14),
           Round2minute("7:30"-$H14)))</f>
        <v>0</v>
      </c>
      <c r="N14" s="138" cm="1">
        <f t="array" aca="1" ref="N14" ca="1">IF(OR($L14=0,$B14=FIM_DE_SEMANA,$B14=FERIADO,$B14=DISPENSADO,$B14=MEIO_COMPENSADO),
   0,
   IF(TIPO_DE_PONTO="Comercial",
     IF(AND($B14=EXPEDIENTE_CORRIDO,$K14&lt;TIMEVALUE("17:00")),
       IF($K14&lt;TIMEVALUE("13:30"),
         Round2minute($K14-"13:30"),
         0),
       Round2minute($K14-"17:00")),
     IF(AND(TIPO_DE_PONTO="Construção",$A14&lt;&gt;"Sexta"),
       IF(AND($B14=EXPEDIENTE_CORRIDO,$K14&lt;TIMEVALUE("17:30")),
         IF($K14&lt;TIMEVALUE("13:30"),
           Round2minute($K14-"13:30"),
           0),
         Round2minute($K14-"17:30")),
       IF(AND($B14=EXPEDIENTE_CORRIDO,$K14&lt;TIMEVALUE("16:30")),
         IF($K14&lt;TIMEVALUE("13:30"),
           Round2minute($K14-"13:00"),
           0),
         Round2minute($K14-"16:30")))))</f>
        <v>0</v>
      </c>
      <c r="O14" s="168" cm="1">
        <f t="array" aca="1" ref="O14" ca="1">IF(OR($L14=0,$B14=FIM_DE_SEMANA,$B14=FERIADO,$B14=DISPENSADO,$B14=MEIO_COMPENSADO),
       0,
       IF(AND($B14=EXPEDIENTE_CORRIDO,AND($I14=0,$J14=0)),
         0,
         IF(AND(TIPO_DE_PONTO="Construção",$A14&lt;&gt;"Sexta"),
           Round2minute("02:00"-($J14-$I14)),
           Round2minute("01:30"-($J14-$I14)))))</f>
        <v>0</v>
      </c>
      <c r="P14" s="79" cm="1">
        <f t="array" ref="P14">IF($L14=0,
      0,
      Round2minute((-1)*SUMIF($M14:$O14,"&lt;0")-Q14-S14-R14))</f>
        <v>0</v>
      </c>
      <c r="Q14" s="227"/>
      <c r="R14" s="229"/>
      <c r="S14" s="228"/>
      <c r="T14" s="79" cm="1">
        <f t="array" aca="1" ref="T14" ca="1">IF(OR($B14=FIM_DE_SEMANA,$B14=FERIADO,$B14=DISPENSADO,$B14=MEIO_COMPENSADO),
       Round2minute($L14-U14-V14-W14-X14),
       Round2minute(SUMIF($M14:$O14,"&gt;0")-U14-V14-W14-X14))</f>
        <v>0</v>
      </c>
      <c r="U14" s="229"/>
      <c r="V14" s="229"/>
      <c r="W14" s="229"/>
      <c r="X14" s="228"/>
      <c r="Y14" s="186" t="str">
        <f ca="1">IFERROR(VLOOKUP($C14,Calendario[],3,FALSE),"")</f>
        <v/>
      </c>
      <c r="Z14" s="239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 x14ac:dyDescent="0.25">
      <c r="A15" s="33" t="str">
        <f t="shared" ca="1" si="0"/>
        <v>Domingo</v>
      </c>
      <c r="B15" s="34" t="str">
        <f ca="1">IF($C15="",
  "",
  IFERROR(VLOOKUP($C15,Calendario[],2,FALSE),
    IF(WEEKDAY($C15,2)&gt;5,
      FIM_DE_SEMANA,
      DIA_UTIL)))</f>
        <v>FIM DE SEMANA</v>
      </c>
      <c r="C15" s="35">
        <f t="shared" ca="1" si="1"/>
        <v>44543</v>
      </c>
      <c r="D15" s="216"/>
      <c r="E15" s="217"/>
      <c r="F15" s="217"/>
      <c r="G15" s="218"/>
      <c r="H15" s="157" cm="1">
        <f t="array" ref="H15">EntradaTratada($A15,$B15,$D15,$I15,TIPO_DE_PONTO,Calendario[DIA]:Calendario[TIPO])</f>
        <v>0</v>
      </c>
      <c r="I15" s="137" cm="1">
        <f t="array" ref="I15">SaidaAlmocoTratada($A15,$B15,$D15:$G15,TIPO_DE_PONTO,Calendario[DIA]:Calendario[TIPO])</f>
        <v>0</v>
      </c>
      <c r="J15" s="137" cm="1">
        <f t="array" ref="J15">RetornoAlmocoTratado($A15,$B15,$D15:$G15,TIPO_DE_PONTO,Calendario[DIA]:Calendario[TIPO])</f>
        <v>0</v>
      </c>
      <c r="K15" s="166" cm="1">
        <f t="array" ref="K15">SaidaTratada($A15,$B15,$D15:$G15,$J15,TIPO_DE_PONTO,Calendario[DIA]:Calendario[TIPO])</f>
        <v>0</v>
      </c>
      <c r="L15" s="159" cm="1">
        <f t="array" ref="L15">Round2minute(($I15-$H15)+($K15-$J15))</f>
        <v>0</v>
      </c>
      <c r="M15" s="138" cm="1">
        <f t="array" aca="1" ref="M15" ca="1">IF(OR($L15=0,$B15=FIM_DE_SEMANA,$B15=FERIADO,$B15=DISPENSADO,$B15=MEIO_COMPENSADO),
       0,
       IF(AND(TIPO_DE_PONTO="Construção",$A15="Sexta"),
           Round2minute("7:00"-$H15),
           Round2minute("7:30"-$H15)))</f>
        <v>0</v>
      </c>
      <c r="N15" s="138" cm="1">
        <f t="array" aca="1" ref="N15" ca="1">IF(OR($L15=0,$B15=FIM_DE_SEMANA,$B15=FERIADO,$B15=DISPENSADO,$B15=MEIO_COMPENSADO),
   0,
   IF(TIPO_DE_PONTO="Comercial",
     IF(AND($B15=EXPEDIENTE_CORRIDO,$K15&lt;TIMEVALUE("17:00")),
       IF($K15&lt;TIMEVALUE("13:30"),
         Round2minute($K15-"13:30"),
         0),
       Round2minute($K15-"17:00")),
     IF(AND(TIPO_DE_PONTO="Construção",$A15&lt;&gt;"Sexta"),
       IF(AND($B15=EXPEDIENTE_CORRIDO,$K15&lt;TIMEVALUE("17:30")),
         IF($K15&lt;TIMEVALUE("13:30"),
           Round2minute($K15-"13:30"),
           0),
         Round2minute($K15-"17:30")),
       IF(AND($B15=EXPEDIENTE_CORRIDO,$K15&lt;TIMEVALUE("16:30")),
         IF($K15&lt;TIMEVALUE("13:30"),
           Round2minute($K15-"13:00"),
           0),
         Round2minute($K15-"16:30")))))</f>
        <v>0</v>
      </c>
      <c r="O15" s="168" cm="1">
        <f t="array" aca="1" ref="O15" ca="1">IF(OR($L15=0,$B15=FIM_DE_SEMANA,$B15=FERIADO,$B15=DISPENSADO,$B15=MEIO_COMPENSADO),
       0,
       IF(AND($B15=EXPEDIENTE_CORRIDO,AND($I15=0,$J15=0)),
         0,
         IF(AND(TIPO_DE_PONTO="Construção",$A15&lt;&gt;"Sexta"),
           Round2minute("02:00"-($J15-$I15)),
           Round2minute("01:30"-($J15-$I15)))))</f>
        <v>0</v>
      </c>
      <c r="P15" s="79" cm="1">
        <f t="array" ref="P15">IF($L15=0,
      0,
      Round2minute((-1)*SUMIF($M15:$O15,"&lt;0")-Q15-S15-R15))</f>
        <v>0</v>
      </c>
      <c r="Q15" s="227"/>
      <c r="R15" s="229"/>
      <c r="S15" s="228"/>
      <c r="T15" s="79" cm="1">
        <f t="array" aca="1" ref="T15" ca="1">IF(OR($B15=FIM_DE_SEMANA,$B15=FERIADO,$B15=DISPENSADO,$B15=MEIO_COMPENSADO),
       Round2minute($L15-U15-V15-W15-X15),
       Round2minute(SUMIF($M15:$O15,"&gt;0")-U15-V15-W15-X15))</f>
        <v>0</v>
      </c>
      <c r="U15" s="229"/>
      <c r="V15" s="229"/>
      <c r="W15" s="234"/>
      <c r="X15" s="235"/>
      <c r="Y15" s="186" t="str">
        <f ca="1">IFERROR(VLOOKUP($C15,Calendario[],3,FALSE),"")</f>
        <v/>
      </c>
      <c r="Z15" s="239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 x14ac:dyDescent="0.25">
      <c r="A16" s="33" t="str">
        <f t="shared" ca="1" si="0"/>
        <v>Segunda</v>
      </c>
      <c r="B16" s="34" t="str">
        <f ca="1">IF($C16="",
  "",
  IFERROR(VLOOKUP($C16,Calendario[],2,FALSE),
    IF(WEEKDAY($C16,2)&gt;5,
      FIM_DE_SEMANA,
      DIA_UTIL)))</f>
        <v>DIA ÚTIL</v>
      </c>
      <c r="C16" s="35">
        <f t="shared" ca="1" si="1"/>
        <v>44544</v>
      </c>
      <c r="D16" s="216"/>
      <c r="E16" s="217"/>
      <c r="F16" s="217"/>
      <c r="G16" s="218"/>
      <c r="H16" s="157" cm="1">
        <f t="array" ref="H16">EntradaTratada($A16,$B16,$D16,$I16,TIPO_DE_PONTO,Calendario[DIA]:Calendario[TIPO])</f>
        <v>0</v>
      </c>
      <c r="I16" s="137" cm="1">
        <f t="array" ref="I16">SaidaAlmocoTratada($A16,$B16,$D16:$G16,TIPO_DE_PONTO,Calendario[DIA]:Calendario[TIPO])</f>
        <v>0</v>
      </c>
      <c r="J16" s="137" cm="1">
        <f t="array" ref="J16">RetornoAlmocoTratado($A16,$B16,$D16:$G16,TIPO_DE_PONTO,Calendario[DIA]:Calendario[TIPO])</f>
        <v>0</v>
      </c>
      <c r="K16" s="166" cm="1">
        <f t="array" ref="K16">SaidaTratada($A16,$B16,$D16:$G16,$J16,TIPO_DE_PONTO,Calendario[DIA]:Calendario[TIPO])</f>
        <v>0</v>
      </c>
      <c r="L16" s="159" cm="1">
        <f t="array" ref="L16">Round2minute(($I16-$H16)+($K16-$J16))</f>
        <v>0</v>
      </c>
      <c r="M16" s="138" cm="1">
        <f t="array" aca="1" ref="M16" ca="1">IF(OR($L16=0,$B16=FIM_DE_SEMANA,$B16=FERIADO,$B16=DISPENSADO,$B16=MEIO_COMPENSADO),
       0,
       IF(AND(TIPO_DE_PONTO="Construção",$A16="Sexta"),
           Round2minute("7:00"-$H16),
           Round2minute("7:30"-$H16)))</f>
        <v>0</v>
      </c>
      <c r="N16" s="138" cm="1">
        <f t="array" aca="1" ref="N16" ca="1">IF(OR($L16=0,$B16=FIM_DE_SEMANA,$B16=FERIADO,$B16=DISPENSADO,$B16=MEIO_COMPENSADO),
   0,
   IF(TIPO_DE_PONTO="Comercial",
     IF(AND($B16=EXPEDIENTE_CORRIDO,$K16&lt;TIMEVALUE("17:00")),
       IF($K16&lt;TIMEVALUE("13:30"),
         Round2minute($K16-"13:30"),
         0),
       Round2minute($K16-"17:00")),
     IF(AND(TIPO_DE_PONTO="Construção",$A16&lt;&gt;"Sexta"),
       IF(AND($B16=EXPEDIENTE_CORRIDO,$K16&lt;TIMEVALUE("17:30")),
         IF($K16&lt;TIMEVALUE("13:30"),
           Round2minute($K16-"13:30"),
           0),
         Round2minute($K16-"17:30")),
       IF(AND($B16=EXPEDIENTE_CORRIDO,$K16&lt;TIMEVALUE("16:30")),
         IF($K16&lt;TIMEVALUE("13:30"),
           Round2minute($K16-"13:00"),
           0),
         Round2minute($K16-"16:30")))))</f>
        <v>0</v>
      </c>
      <c r="O16" s="168" cm="1">
        <f t="array" aca="1" ref="O16" ca="1">IF(OR($L16=0,$B16=FIM_DE_SEMANA,$B16=FERIADO,$B16=DISPENSADO,$B16=MEIO_COMPENSADO),
       0,
       IF(AND($B16=EXPEDIENTE_CORRIDO,AND($I16=0,$J16=0)),
         0,
         IF(AND(TIPO_DE_PONTO="Construção",$A16&lt;&gt;"Sexta"),
           Round2minute("02:00"-($J16-$I16)),
           Round2minute("01:30"-($J16-$I16)))))</f>
        <v>0</v>
      </c>
      <c r="P16" s="79" cm="1">
        <f t="array" ref="P16">IF($L16=0,
      0,
      Round2minute((-1)*SUMIF($M16:$O16,"&lt;0")-Q16-S16-R16))</f>
        <v>0</v>
      </c>
      <c r="Q16" s="227"/>
      <c r="R16" s="229"/>
      <c r="S16" s="228"/>
      <c r="T16" s="79" cm="1">
        <f t="array" aca="1" ref="T16" ca="1">IF(OR($B16=FIM_DE_SEMANA,$B16=FERIADO,$B16=DISPENSADO,$B16=MEIO_COMPENSADO),
       Round2minute($L16-U16-V16-W16-X16),
       Round2minute(SUMIF($M16:$O16,"&gt;0")-U16-V16-W16-X16))</f>
        <v>0</v>
      </c>
      <c r="U16" s="229"/>
      <c r="V16" s="229"/>
      <c r="W16" s="234"/>
      <c r="X16" s="235"/>
      <c r="Y16" s="186" t="str">
        <f ca="1">IFERROR(VLOOKUP($C16,Calendario[],3,FALSE),"")</f>
        <v/>
      </c>
      <c r="Z16" s="239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 x14ac:dyDescent="0.25">
      <c r="A17" s="33" t="str">
        <f t="shared" ca="1" si="0"/>
        <v>Terça</v>
      </c>
      <c r="B17" s="34" t="str">
        <f ca="1">IF($C17="",
  "",
  IFERROR(VLOOKUP($C17,Calendario[],2,FALSE),
    IF(WEEKDAY($C17,2)&gt;5,
      FIM_DE_SEMANA,
      DIA_UTIL)))</f>
        <v>DIA ÚTIL</v>
      </c>
      <c r="C17" s="35">
        <f t="shared" ca="1" si="1"/>
        <v>44545</v>
      </c>
      <c r="D17" s="216"/>
      <c r="E17" s="217"/>
      <c r="F17" s="217"/>
      <c r="G17" s="218"/>
      <c r="H17" s="157" cm="1">
        <f t="array" ref="H17">EntradaTratada($A17,$B17,$D17,$I17,TIPO_DE_PONTO,Calendario[DIA]:Calendario[TIPO])</f>
        <v>0</v>
      </c>
      <c r="I17" s="137" cm="1">
        <f t="array" ref="I17">SaidaAlmocoTratada($A17,$B17,$D17:$G17,TIPO_DE_PONTO,Calendario[DIA]:Calendario[TIPO])</f>
        <v>0</v>
      </c>
      <c r="J17" s="137" cm="1">
        <f t="array" ref="J17">RetornoAlmocoTratado($A17,$B17,$D17:$G17,TIPO_DE_PONTO,Calendario[DIA]:Calendario[TIPO])</f>
        <v>0</v>
      </c>
      <c r="K17" s="166" cm="1">
        <f t="array" ref="K17">SaidaTratada($A17,$B17,$D17:$G17,$J17,TIPO_DE_PONTO,Calendario[DIA]:Calendario[TIPO])</f>
        <v>0</v>
      </c>
      <c r="L17" s="159" cm="1">
        <f t="array" ref="L17">Round2minute(($I17-$H17)+($K17-$J17))</f>
        <v>0</v>
      </c>
      <c r="M17" s="138" cm="1">
        <f t="array" aca="1" ref="M17" ca="1">IF(OR($L17=0,$B17=FIM_DE_SEMANA,$B17=FERIADO,$B17=DISPENSADO,$B17=MEIO_COMPENSADO),
       0,
       IF(AND(TIPO_DE_PONTO="Construção",$A17="Sexta"),
           Round2minute("7:00"-$H17),
           Round2minute("7:30"-$H17)))</f>
        <v>0</v>
      </c>
      <c r="N17" s="138" cm="1">
        <f t="array" aca="1" ref="N17" ca="1">IF(OR($L17=0,$B17=FIM_DE_SEMANA,$B17=FERIADO,$B17=DISPENSADO,$B17=MEIO_COMPENSADO),
   0,
   IF(TIPO_DE_PONTO="Comercial",
     IF(AND($B17=EXPEDIENTE_CORRIDO,$K17&lt;TIMEVALUE("17:00")),
       IF($K17&lt;TIMEVALUE("13:30"),
         Round2minute($K17-"13:30"),
         0),
       Round2minute($K17-"17:00")),
     IF(AND(TIPO_DE_PONTO="Construção",$A17&lt;&gt;"Sexta"),
       IF(AND($B17=EXPEDIENTE_CORRIDO,$K17&lt;TIMEVALUE("17:30")),
         IF($K17&lt;TIMEVALUE("13:30"),
           Round2minute($K17-"13:30"),
           0),
         Round2minute($K17-"17:30")),
       IF(AND($B17=EXPEDIENTE_CORRIDO,$K17&lt;TIMEVALUE("16:30")),
         IF($K17&lt;TIMEVALUE("13:30"),
           Round2minute($K17-"13:00"),
           0),
         Round2minute($K17-"16:30")))))</f>
        <v>0</v>
      </c>
      <c r="O17" s="168" cm="1">
        <f t="array" aca="1" ref="O17" ca="1">IF(OR($L17=0,$B17=FIM_DE_SEMANA,$B17=FERIADO,$B17=DISPENSADO,$B17=MEIO_COMPENSADO),
       0,
       IF(AND($B17=EXPEDIENTE_CORRIDO,AND($I17=0,$J17=0)),
         0,
         IF(AND(TIPO_DE_PONTO="Construção",$A17&lt;&gt;"Sexta"),
           Round2minute("02:00"-($J17-$I17)),
           Round2minute("01:30"-($J17-$I17)))))</f>
        <v>0</v>
      </c>
      <c r="P17" s="79" cm="1">
        <f t="array" ref="P17">IF($L17=0,
      0,
      Round2minute((-1)*SUMIF($M17:$O17,"&lt;0")-Q17-S17-R17))</f>
        <v>0</v>
      </c>
      <c r="Q17" s="227"/>
      <c r="R17" s="229"/>
      <c r="S17" s="228"/>
      <c r="T17" s="79" cm="1">
        <f t="array" aca="1" ref="T17" ca="1">IF(OR($B17=FIM_DE_SEMANA,$B17=FERIADO,$B17=DISPENSADO,$B17=MEIO_COMPENSADO),
       Round2minute($L17-U17-V17-W17-X17),
       Round2minute(SUMIF($M17:$O17,"&gt;0")-U17-V17-W17-X17))</f>
        <v>0</v>
      </c>
      <c r="U17" s="229"/>
      <c r="V17" s="229"/>
      <c r="W17" s="229"/>
      <c r="X17" s="228"/>
      <c r="Y17" s="186" t="str">
        <f ca="1">IFERROR(VLOOKUP($C17,Calendario[],3,FALSE),"")</f>
        <v/>
      </c>
      <c r="Z17" s="239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 x14ac:dyDescent="0.25">
      <c r="A18" s="33" t="str">
        <f t="shared" ca="1" si="0"/>
        <v>Quarta</v>
      </c>
      <c r="B18" s="34" t="str">
        <f ca="1">IF($C18="",
  "",
  IFERROR(VLOOKUP($C18,Calendario[],2,FALSE),
    IF(WEEKDAY($C18,2)&gt;5,
      FIM_DE_SEMANA,
      DIA_UTIL)))</f>
        <v>DIA ÚTIL</v>
      </c>
      <c r="C18" s="35">
        <f t="shared" ca="1" si="1"/>
        <v>44546</v>
      </c>
      <c r="D18" s="216"/>
      <c r="E18" s="217"/>
      <c r="F18" s="217"/>
      <c r="G18" s="218"/>
      <c r="H18" s="157" cm="1">
        <f t="array" ref="H18">EntradaTratada($A18,$B18,$D18,$I18,TIPO_DE_PONTO,Calendario[DIA]:Calendario[TIPO])</f>
        <v>0</v>
      </c>
      <c r="I18" s="137" cm="1">
        <f t="array" ref="I18">SaidaAlmocoTratada($A18,$B18,$D18:$G18,TIPO_DE_PONTO,Calendario[DIA]:Calendario[TIPO])</f>
        <v>0</v>
      </c>
      <c r="J18" s="137" cm="1">
        <f t="array" ref="J18">RetornoAlmocoTratado($A18,$B18,$D18:$G18,TIPO_DE_PONTO,Calendario[DIA]:Calendario[TIPO])</f>
        <v>0</v>
      </c>
      <c r="K18" s="166" cm="1">
        <f t="array" ref="K18">SaidaTratada($A18,$B18,$D18:$G18,$J18,TIPO_DE_PONTO,Calendario[DIA]:Calendario[TIPO])</f>
        <v>0</v>
      </c>
      <c r="L18" s="159" cm="1">
        <f t="array" ref="L18">Round2minute(($I18-$H18)+($K18-$J18))</f>
        <v>0</v>
      </c>
      <c r="M18" s="138" cm="1">
        <f t="array" aca="1" ref="M18" ca="1">IF(OR($L18=0,$B18=FIM_DE_SEMANA,$B18=FERIADO,$B18=DISPENSADO,$B18=MEIO_COMPENSADO),
       0,
       IF(AND(TIPO_DE_PONTO="Construção",$A18="Sexta"),
           Round2minute("7:00"-$H18),
           Round2minute("7:30"-$H18)))</f>
        <v>0</v>
      </c>
      <c r="N18" s="138" cm="1">
        <f t="array" aca="1" ref="N18" ca="1">IF(OR($L18=0,$B18=FIM_DE_SEMANA,$B18=FERIADO,$B18=DISPENSADO,$B18=MEIO_COMPENSADO),
   0,
   IF(TIPO_DE_PONTO="Comercial",
     IF(AND($B18=EXPEDIENTE_CORRIDO,$K18&lt;TIMEVALUE("17:00")),
       IF($K18&lt;TIMEVALUE("13:30"),
         Round2minute($K18-"13:30"),
         0),
       Round2minute($K18-"17:00")),
     IF(AND(TIPO_DE_PONTO="Construção",$A18&lt;&gt;"Sexta"),
       IF(AND($B18=EXPEDIENTE_CORRIDO,$K18&lt;TIMEVALUE("17:30")),
         IF($K18&lt;TIMEVALUE("13:30"),
           Round2minute($K18-"13:30"),
           0),
         Round2minute($K18-"17:30")),
       IF(AND($B18=EXPEDIENTE_CORRIDO,$K18&lt;TIMEVALUE("16:30")),
         IF($K18&lt;TIMEVALUE("13:30"),
           Round2minute($K18-"13:00"),
           0),
         Round2minute($K18-"16:30")))))</f>
        <v>0</v>
      </c>
      <c r="O18" s="168" cm="1">
        <f t="array" aca="1" ref="O18" ca="1">IF(OR($L18=0,$B18=FIM_DE_SEMANA,$B18=FERIADO,$B18=DISPENSADO,$B18=MEIO_COMPENSADO),
       0,
       IF(AND($B18=EXPEDIENTE_CORRIDO,AND($I18=0,$J18=0)),
         0,
         IF(AND(TIPO_DE_PONTO="Construção",$A18&lt;&gt;"Sexta"),
           Round2minute("02:00"-($J18-$I18)),
           Round2minute("01:30"-($J18-$I18)))))</f>
        <v>0</v>
      </c>
      <c r="P18" s="79" cm="1">
        <f t="array" ref="P18">IF($L18=0,
      0,
      Round2minute((-1)*SUMIF($M18:$O18,"&lt;0")-Q18-S18-R18))</f>
        <v>0</v>
      </c>
      <c r="Q18" s="227"/>
      <c r="R18" s="229"/>
      <c r="S18" s="228"/>
      <c r="T18" s="79" cm="1">
        <f t="array" aca="1" ref="T18" ca="1">IF(OR($B18=FIM_DE_SEMANA,$B18=FERIADO,$B18=DISPENSADO,$B18=MEIO_COMPENSADO),
       Round2minute($L18-U18-V18-W18-X18),
       Round2minute(SUMIF($M18:$O18,"&gt;0")-U18-V18-W18-X18))</f>
        <v>0</v>
      </c>
      <c r="U18" s="229"/>
      <c r="V18" s="229"/>
      <c r="W18" s="229"/>
      <c r="X18" s="228"/>
      <c r="Y18" s="186" t="str">
        <f ca="1">IFERROR(VLOOKUP($C18,Calendario[],3,FALSE),"")</f>
        <v/>
      </c>
      <c r="Z18" s="239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 x14ac:dyDescent="0.25">
      <c r="A19" s="33" t="str">
        <f t="shared" ca="1" si="0"/>
        <v>Quinta</v>
      </c>
      <c r="B19" s="34" t="str">
        <f ca="1">IF($C19="",
  "",
  IFERROR(VLOOKUP($C19,Calendario[],2,FALSE),
    IF(WEEKDAY($C19,2)&gt;5,
      FIM_DE_SEMANA,
      DIA_UTIL)))</f>
        <v>DIA ÚTIL</v>
      </c>
      <c r="C19" s="35">
        <f t="shared" ca="1" si="1"/>
        <v>44547</v>
      </c>
      <c r="D19" s="216"/>
      <c r="E19" s="217"/>
      <c r="F19" s="217"/>
      <c r="G19" s="218"/>
      <c r="H19" s="157" cm="1">
        <f t="array" ref="H19">EntradaTratada($A19,$B19,$D19,$I19,TIPO_DE_PONTO,Calendario[DIA]:Calendario[TIPO])</f>
        <v>0</v>
      </c>
      <c r="I19" s="137" cm="1">
        <f t="array" ref="I19">SaidaAlmocoTratada($A19,$B19,$D19:$G19,TIPO_DE_PONTO,Calendario[DIA]:Calendario[TIPO])</f>
        <v>0</v>
      </c>
      <c r="J19" s="137" cm="1">
        <f t="array" ref="J19">RetornoAlmocoTratado($A19,$B19,$D19:$G19,TIPO_DE_PONTO,Calendario[DIA]:Calendario[TIPO])</f>
        <v>0</v>
      </c>
      <c r="K19" s="166" cm="1">
        <f t="array" ref="K19">SaidaTratada($A19,$B19,$D19:$G19,$J19,TIPO_DE_PONTO,Calendario[DIA]:Calendario[TIPO])</f>
        <v>0</v>
      </c>
      <c r="L19" s="159" cm="1">
        <f t="array" ref="L19">Round2minute(($I19-$H19)+($K19-$J19))</f>
        <v>0</v>
      </c>
      <c r="M19" s="138" cm="1">
        <f t="array" aca="1" ref="M19" ca="1">IF(OR($L19=0,$B19=FIM_DE_SEMANA,$B19=FERIADO,$B19=DISPENSADO,$B19=MEIO_COMPENSADO),
       0,
       IF(AND(TIPO_DE_PONTO="Construção",$A19="Sexta"),
           Round2minute("7:00"-$H19),
           Round2minute("7:30"-$H19)))</f>
        <v>0</v>
      </c>
      <c r="N19" s="138" cm="1">
        <f t="array" aca="1" ref="N19" ca="1">IF(OR($L19=0,$B19=FIM_DE_SEMANA,$B19=FERIADO,$B19=DISPENSADO,$B19=MEIO_COMPENSADO),
   0,
   IF(TIPO_DE_PONTO="Comercial",
     IF(AND($B19=EXPEDIENTE_CORRIDO,$K19&lt;TIMEVALUE("17:00")),
       IF($K19&lt;TIMEVALUE("13:30"),
         Round2minute($K19-"13:30"),
         0),
       Round2minute($K19-"17:00")),
     IF(AND(TIPO_DE_PONTO="Construção",$A19&lt;&gt;"Sexta"),
       IF(AND($B19=EXPEDIENTE_CORRIDO,$K19&lt;TIMEVALUE("17:30")),
         IF($K19&lt;TIMEVALUE("13:30"),
           Round2minute($K19-"13:30"),
           0),
         Round2minute($K19-"17:30")),
       IF(AND($B19=EXPEDIENTE_CORRIDO,$K19&lt;TIMEVALUE("16:30")),
         IF($K19&lt;TIMEVALUE("13:30"),
           Round2minute($K19-"13:00"),
           0),
         Round2minute($K19-"16:30")))))</f>
        <v>0</v>
      </c>
      <c r="O19" s="168" cm="1">
        <f t="array" aca="1" ref="O19" ca="1">IF(OR($L19=0,$B19=FIM_DE_SEMANA,$B19=FERIADO,$B19=DISPENSADO,$B19=MEIO_COMPENSADO),
       0,
       IF(AND($B19=EXPEDIENTE_CORRIDO,AND($I19=0,$J19=0)),
         0,
         IF(AND(TIPO_DE_PONTO="Construção",$A19&lt;&gt;"Sexta"),
           Round2minute("02:00"-($J19-$I19)),
           Round2minute("01:30"-($J19-$I19)))))</f>
        <v>0</v>
      </c>
      <c r="P19" s="79" cm="1">
        <f t="array" ref="P19">IF($L19=0,
      0,
      Round2minute((-1)*SUMIF($M19:$O19,"&lt;0")-Q19-S19-R19))</f>
        <v>0</v>
      </c>
      <c r="Q19" s="227"/>
      <c r="R19" s="229"/>
      <c r="S19" s="228"/>
      <c r="T19" s="79" cm="1">
        <f t="array" aca="1" ref="T19" ca="1">IF(OR($B19=FIM_DE_SEMANA,$B19=FERIADO,$B19=DISPENSADO,$B19=MEIO_COMPENSADO),
       Round2minute($L19-U19-V19-W19-X19),
       Round2minute(SUMIF($M19:$O19,"&gt;0")-U19-V19-W19-X19))</f>
        <v>0</v>
      </c>
      <c r="U19" s="229"/>
      <c r="V19" s="229"/>
      <c r="W19" s="229"/>
      <c r="X19" s="228"/>
      <c r="Y19" s="186" t="str">
        <f ca="1">IFERROR(VLOOKUP($C19,Calendario[],3,FALSE),"")</f>
        <v/>
      </c>
      <c r="Z19" s="239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 x14ac:dyDescent="0.25">
      <c r="A20" s="33" t="str">
        <f t="shared" ca="1" si="0"/>
        <v>Sexta</v>
      </c>
      <c r="B20" s="34" t="str">
        <f ca="1">IF($C20="",
  "",
  IFERROR(VLOOKUP($C20,Calendario[],2,FALSE),
    IF(WEEKDAY($C20,2)&gt;5,
      FIM_DE_SEMANA,
      DIA_UTIL)))</f>
        <v>DIA ÚTIL</v>
      </c>
      <c r="C20" s="35">
        <f t="shared" ca="1" si="1"/>
        <v>44548</v>
      </c>
      <c r="D20" s="216"/>
      <c r="E20" s="217"/>
      <c r="F20" s="217"/>
      <c r="G20" s="218"/>
      <c r="H20" s="157" cm="1">
        <f t="array" ref="H20">EntradaTratada($A20,$B20,$D20,$I20,TIPO_DE_PONTO,Calendario[DIA]:Calendario[TIPO])</f>
        <v>0</v>
      </c>
      <c r="I20" s="137" cm="1">
        <f t="array" ref="I20">SaidaAlmocoTratada($A20,$B20,$D20:$G20,TIPO_DE_PONTO,Calendario[DIA]:Calendario[TIPO])</f>
        <v>0</v>
      </c>
      <c r="J20" s="137" cm="1">
        <f t="array" ref="J20">RetornoAlmocoTratado($A20,$B20,$D20:$G20,TIPO_DE_PONTO,Calendario[DIA]:Calendario[TIPO])</f>
        <v>0</v>
      </c>
      <c r="K20" s="166" cm="1">
        <f t="array" ref="K20">SaidaTratada($A20,$B20,$D20:$G20,$J20,TIPO_DE_PONTO,Calendario[DIA]:Calendario[TIPO])</f>
        <v>0</v>
      </c>
      <c r="L20" s="159" cm="1">
        <f t="array" ref="L20">Round2minute(($I20-$H20)+($K20-$J20))</f>
        <v>0</v>
      </c>
      <c r="M20" s="138" cm="1">
        <f t="array" aca="1" ref="M20" ca="1">IF(OR($L20=0,$B20=FIM_DE_SEMANA,$B20=FERIADO,$B20=DISPENSADO,$B20=MEIO_COMPENSADO),
       0,
       IF(AND(TIPO_DE_PONTO="Construção",$A20="Sexta"),
           Round2minute("7:00"-$H20),
           Round2minute("7:30"-$H20)))</f>
        <v>0</v>
      </c>
      <c r="N20" s="138" cm="1">
        <f t="array" aca="1" ref="N20" ca="1">IF(OR($L20=0,$B20=FIM_DE_SEMANA,$B20=FERIADO,$B20=DISPENSADO,$B20=MEIO_COMPENSADO),
   0,
   IF(TIPO_DE_PONTO="Comercial",
     IF(AND($B20=EXPEDIENTE_CORRIDO,$K20&lt;TIMEVALUE("17:00")),
       IF($K20&lt;TIMEVALUE("13:30"),
         Round2minute($K20-"13:30"),
         0),
       Round2minute($K20-"17:00")),
     IF(AND(TIPO_DE_PONTO="Construção",$A20&lt;&gt;"Sexta"),
       IF(AND($B20=EXPEDIENTE_CORRIDO,$K20&lt;TIMEVALUE("17:30")),
         IF($K20&lt;TIMEVALUE("13:30"),
           Round2minute($K20-"13:30"),
           0),
         Round2minute($K20-"17:30")),
       IF(AND($B20=EXPEDIENTE_CORRIDO,$K20&lt;TIMEVALUE("16:30")),
         IF($K20&lt;TIMEVALUE("13:30"),
           Round2minute($K20-"13:00"),
           0),
         Round2minute($K20-"16:30")))))</f>
        <v>0</v>
      </c>
      <c r="O20" s="168" cm="1">
        <f t="array" aca="1" ref="O20" ca="1">IF(OR($L20=0,$B20=FIM_DE_SEMANA,$B20=FERIADO,$B20=DISPENSADO,$B20=MEIO_COMPENSADO),
       0,
       IF(AND($B20=EXPEDIENTE_CORRIDO,AND($I20=0,$J20=0)),
         0,
         IF(AND(TIPO_DE_PONTO="Construção",$A20&lt;&gt;"Sexta"),
           Round2minute("02:00"-($J20-$I20)),
           Round2minute("01:30"-($J20-$I20)))))</f>
        <v>0</v>
      </c>
      <c r="P20" s="79" cm="1">
        <f t="array" ref="P20">IF($L20=0,
      0,
      Round2minute((-1)*SUMIF($M20:$O20,"&lt;0")-Q20-S20-R20))</f>
        <v>0</v>
      </c>
      <c r="Q20" s="227"/>
      <c r="R20" s="229"/>
      <c r="S20" s="228"/>
      <c r="T20" s="79" cm="1">
        <f t="array" aca="1" ref="T20" ca="1">IF(OR($B20=FIM_DE_SEMANA,$B20=FERIADO,$B20=DISPENSADO,$B20=MEIO_COMPENSADO),
       Round2minute($L20-U20-V20-W20-X20),
       Round2minute(SUMIF($M20:$O20,"&gt;0")-U20-V20-W20-X20))</f>
        <v>0</v>
      </c>
      <c r="U20" s="229"/>
      <c r="V20" s="229"/>
      <c r="W20" s="229"/>
      <c r="X20" s="228"/>
      <c r="Y20" s="186" t="str">
        <f ca="1">IFERROR(VLOOKUP($C20,Calendario[],3,FALSE),"")</f>
        <v/>
      </c>
      <c r="Z20" s="239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 x14ac:dyDescent="0.25">
      <c r="A21" s="33" t="str">
        <f t="shared" ca="1" si="0"/>
        <v>Sábado</v>
      </c>
      <c r="B21" s="34" t="str">
        <f ca="1">IF($C21="",
  "",
  IFERROR(VLOOKUP($C21,Calendario[],2,FALSE),
    IF(WEEKDAY($C21,2)&gt;5,
      FIM_DE_SEMANA,
      DIA_UTIL)))</f>
        <v>FIM DE SEMANA</v>
      </c>
      <c r="C21" s="35">
        <f t="shared" ca="1" si="1"/>
        <v>44549</v>
      </c>
      <c r="D21" s="216"/>
      <c r="E21" s="217"/>
      <c r="F21" s="217"/>
      <c r="G21" s="218"/>
      <c r="H21" s="157" cm="1">
        <f t="array" ref="H21">EntradaTratada($A21,$B21,$D21,$I21,TIPO_DE_PONTO,Calendario[DIA]:Calendario[TIPO])</f>
        <v>0</v>
      </c>
      <c r="I21" s="137" cm="1">
        <f t="array" ref="I21">SaidaAlmocoTratada($A21,$B21,$D21:$G21,TIPO_DE_PONTO,Calendario[DIA]:Calendario[TIPO])</f>
        <v>0</v>
      </c>
      <c r="J21" s="137" cm="1">
        <f t="array" ref="J21">RetornoAlmocoTratado($A21,$B21,$D21:$G21,TIPO_DE_PONTO,Calendario[DIA]:Calendario[TIPO])</f>
        <v>0</v>
      </c>
      <c r="K21" s="166" cm="1">
        <f t="array" ref="K21">SaidaTratada($A21,$B21,$D21:$G21,$J21,TIPO_DE_PONTO,Calendario[DIA]:Calendario[TIPO])</f>
        <v>0</v>
      </c>
      <c r="L21" s="159" cm="1">
        <f t="array" ref="L21">Round2minute(($I21-$H21)+($K21-$J21))</f>
        <v>0</v>
      </c>
      <c r="M21" s="138" cm="1">
        <f t="array" aca="1" ref="M21" ca="1">IF(OR($L21=0,$B21=FIM_DE_SEMANA,$B21=FERIADO,$B21=DISPENSADO,$B21=MEIO_COMPENSADO),
       0,
       IF(AND(TIPO_DE_PONTO="Construção",$A21="Sexta"),
           Round2minute("7:00"-$H21),
           Round2minute("7:30"-$H21)))</f>
        <v>0</v>
      </c>
      <c r="N21" s="138" cm="1">
        <f t="array" aca="1" ref="N21" ca="1">IF(OR($L21=0,$B21=FIM_DE_SEMANA,$B21=FERIADO,$B21=DISPENSADO,$B21=MEIO_COMPENSADO),
   0,
   IF(TIPO_DE_PONTO="Comercial",
     IF(AND($B21=EXPEDIENTE_CORRIDO,$K21&lt;TIMEVALUE("17:00")),
       IF($K21&lt;TIMEVALUE("13:30"),
         Round2minute($K21-"13:30"),
         0),
       Round2minute($K21-"17:00")),
     IF(AND(TIPO_DE_PONTO="Construção",$A21&lt;&gt;"Sexta"),
       IF(AND($B21=EXPEDIENTE_CORRIDO,$K21&lt;TIMEVALUE("17:30")),
         IF($K21&lt;TIMEVALUE("13:30"),
           Round2minute($K21-"13:30"),
           0),
         Round2minute($K21-"17:30")),
       IF(AND($B21=EXPEDIENTE_CORRIDO,$K21&lt;TIMEVALUE("16:30")),
         IF($K21&lt;TIMEVALUE("13:30"),
           Round2minute($K21-"13:00"),
           0),
         Round2minute($K21-"16:30")))))</f>
        <v>0</v>
      </c>
      <c r="O21" s="168" cm="1">
        <f t="array" aca="1" ref="O21" ca="1">IF(OR($L21=0,$B21=FIM_DE_SEMANA,$B21=FERIADO,$B21=DISPENSADO,$B21=MEIO_COMPENSADO),
       0,
       IF(AND($B21=EXPEDIENTE_CORRIDO,AND($I21=0,$J21=0)),
         0,
         IF(AND(TIPO_DE_PONTO="Construção",$A21&lt;&gt;"Sexta"),
           Round2minute("02:00"-($J21-$I21)),
           Round2minute("01:30"-($J21-$I21)))))</f>
        <v>0</v>
      </c>
      <c r="P21" s="79" cm="1">
        <f t="array" ref="P21">IF($L21=0,
      0,
      Round2minute((-1)*SUMIF($M21:$O21,"&lt;0")-Q21-S21-R21))</f>
        <v>0</v>
      </c>
      <c r="Q21" s="227"/>
      <c r="R21" s="229"/>
      <c r="S21" s="228"/>
      <c r="T21" s="79" cm="1">
        <f t="array" aca="1" ref="T21" ca="1">IF(OR($B21=FIM_DE_SEMANA,$B21=FERIADO,$B21=DISPENSADO,$B21=MEIO_COMPENSADO),
       Round2minute($L21-U21-V21-W21-X21),
       Round2minute(SUMIF($M21:$O21,"&gt;0")-U21-V21-W21-X21))</f>
        <v>0</v>
      </c>
      <c r="U21" s="229"/>
      <c r="V21" s="229"/>
      <c r="W21" s="229"/>
      <c r="X21" s="228"/>
      <c r="Y21" s="186" t="str">
        <f ca="1">IFERROR(VLOOKUP($C21,Calendario[],3,FALSE),"")</f>
        <v/>
      </c>
      <c r="Z21" s="239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 x14ac:dyDescent="0.25">
      <c r="A22" s="33" t="str">
        <f t="shared" ca="1" si="0"/>
        <v>Domingo</v>
      </c>
      <c r="B22" s="34" t="str">
        <f ca="1">IF($C22="",
  "",
  IFERROR(VLOOKUP($C22,Calendario[],2,FALSE),
    IF(WEEKDAY($C22,2)&gt;5,
      FIM_DE_SEMANA,
      DIA_UTIL)))</f>
        <v>FIM DE SEMANA</v>
      </c>
      <c r="C22" s="35">
        <f t="shared" ca="1" si="1"/>
        <v>44550</v>
      </c>
      <c r="D22" s="216"/>
      <c r="E22" s="217"/>
      <c r="F22" s="217"/>
      <c r="G22" s="218"/>
      <c r="H22" s="157" cm="1">
        <f t="array" ref="H22">EntradaTratada($A22,$B22,$D22,$I22,TIPO_DE_PONTO,Calendario[DIA]:Calendario[TIPO])</f>
        <v>0</v>
      </c>
      <c r="I22" s="137" cm="1">
        <f t="array" ref="I22">SaidaAlmocoTratada($A22,$B22,$D22:$G22,TIPO_DE_PONTO,Calendario[DIA]:Calendario[TIPO])</f>
        <v>0</v>
      </c>
      <c r="J22" s="137" cm="1">
        <f t="array" ref="J22">RetornoAlmocoTratado($A22,$B22,$D22:$G22,TIPO_DE_PONTO,Calendario[DIA]:Calendario[TIPO])</f>
        <v>0</v>
      </c>
      <c r="K22" s="166" cm="1">
        <f t="array" ref="K22">SaidaTratada($A22,$B22,$D22:$G22,$J22,TIPO_DE_PONTO,Calendario[DIA]:Calendario[TIPO])</f>
        <v>0</v>
      </c>
      <c r="L22" s="159" cm="1">
        <f t="array" ref="L22">Round2minute(($I22-$H22)+($K22-$J22))</f>
        <v>0</v>
      </c>
      <c r="M22" s="138" cm="1">
        <f t="array" aca="1" ref="M22" ca="1">IF(OR($L22=0,$B22=FIM_DE_SEMANA,$B22=FERIADO,$B22=DISPENSADO,$B22=MEIO_COMPENSADO),
       0,
       IF(AND(TIPO_DE_PONTO="Construção",$A22="Sexta"),
           Round2minute("7:00"-$H22),
           Round2minute("7:30"-$H22)))</f>
        <v>0</v>
      </c>
      <c r="N22" s="138" cm="1">
        <f t="array" aca="1" ref="N22" ca="1">IF(OR($L22=0,$B22=FIM_DE_SEMANA,$B22=FERIADO,$B22=DISPENSADO,$B22=MEIO_COMPENSADO),
   0,
   IF(TIPO_DE_PONTO="Comercial",
     IF(AND($B22=EXPEDIENTE_CORRIDO,$K22&lt;TIMEVALUE("17:00")),
       IF($K22&lt;TIMEVALUE("13:30"),
         Round2minute($K22-"13:30"),
         0),
       Round2minute($K22-"17:00")),
     IF(AND(TIPO_DE_PONTO="Construção",$A22&lt;&gt;"Sexta"),
       IF(AND($B22=EXPEDIENTE_CORRIDO,$K22&lt;TIMEVALUE("17:30")),
         IF($K22&lt;TIMEVALUE("13:30"),
           Round2minute($K22-"13:30"),
           0),
         Round2minute($K22-"17:30")),
       IF(AND($B22=EXPEDIENTE_CORRIDO,$K22&lt;TIMEVALUE("16:30")),
         IF($K22&lt;TIMEVALUE("13:30"),
           Round2minute($K22-"13:00"),
           0),
         Round2minute($K22-"16:30")))))</f>
        <v>0</v>
      </c>
      <c r="O22" s="168" cm="1">
        <f t="array" aca="1" ref="O22" ca="1">IF(OR($L22=0,$B22=FIM_DE_SEMANA,$B22=FERIADO,$B22=DISPENSADO,$B22=MEIO_COMPENSADO),
       0,
       IF(AND($B22=EXPEDIENTE_CORRIDO,AND($I22=0,$J22=0)),
         0,
         IF(AND(TIPO_DE_PONTO="Construção",$A22&lt;&gt;"Sexta"),
           Round2minute("02:00"-($J22-$I22)),
           Round2minute("01:30"-($J22-$I22)))))</f>
        <v>0</v>
      </c>
      <c r="P22" s="79" cm="1">
        <f t="array" ref="P22">IF($L22=0,
      0,
      Round2minute((-1)*SUMIF($M22:$O22,"&lt;0")-Q22-S22-R22))</f>
        <v>0</v>
      </c>
      <c r="Q22" s="227"/>
      <c r="R22" s="229"/>
      <c r="S22" s="228"/>
      <c r="T22" s="79" cm="1">
        <f t="array" aca="1" ref="T22" ca="1">IF(OR($B22=FIM_DE_SEMANA,$B22=FERIADO,$B22=DISPENSADO,$B22=MEIO_COMPENSADO),
       Round2minute($L22-U22-V22-W22-X22),
       Round2minute(SUMIF($M22:$O22,"&gt;0")-U22-V22-W22-X22))</f>
        <v>0</v>
      </c>
      <c r="U22" s="229"/>
      <c r="V22" s="229"/>
      <c r="W22" s="234"/>
      <c r="X22" s="235"/>
      <c r="Y22" s="186" t="str">
        <f ca="1">IFERROR(VLOOKUP($C22,Calendario[],3,FALSE),"")</f>
        <v/>
      </c>
      <c r="Z22" s="239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 x14ac:dyDescent="0.25">
      <c r="A23" s="33" t="str">
        <f t="shared" ca="1" si="0"/>
        <v>Segunda</v>
      </c>
      <c r="B23" s="34" t="str">
        <f ca="1">IF($C23="",
  "",
  IFERROR(VLOOKUP($C23,Calendario[],2,FALSE),
    IF(WEEKDAY($C23,2)&gt;5,
      FIM_DE_SEMANA,
      DIA_UTIL)))</f>
        <v>DIA ÚTIL</v>
      </c>
      <c r="C23" s="35">
        <f t="shared" ca="1" si="1"/>
        <v>44551</v>
      </c>
      <c r="D23" s="216"/>
      <c r="E23" s="217"/>
      <c r="F23" s="219"/>
      <c r="G23" s="218"/>
      <c r="H23" s="157" cm="1">
        <f t="array" ref="H23">EntradaTratada($A23,$B23,$D23,$I23,TIPO_DE_PONTO,Calendario[DIA]:Calendario[TIPO])</f>
        <v>0</v>
      </c>
      <c r="I23" s="137" cm="1">
        <f t="array" ref="I23">SaidaAlmocoTratada($A23,$B23,$D23:$G23,TIPO_DE_PONTO,Calendario[DIA]:Calendario[TIPO])</f>
        <v>0</v>
      </c>
      <c r="J23" s="137" cm="1">
        <f t="array" ref="J23">RetornoAlmocoTratado($A23,$B23,$D23:$G23,TIPO_DE_PONTO,Calendario[DIA]:Calendario[TIPO])</f>
        <v>0</v>
      </c>
      <c r="K23" s="166" cm="1">
        <f t="array" ref="K23">SaidaTratada($A23,$B23,$D23:$G23,$J23,TIPO_DE_PONTO,Calendario[DIA]:Calendario[TIPO])</f>
        <v>0</v>
      </c>
      <c r="L23" s="159" cm="1">
        <f t="array" ref="L23">Round2minute(($I23-$H23)+($K23-$J23))</f>
        <v>0</v>
      </c>
      <c r="M23" s="138" cm="1">
        <f t="array" aca="1" ref="M23" ca="1">IF(OR($L23=0,$B23=FIM_DE_SEMANA,$B23=FERIADO,$B23=DISPENSADO,$B23=MEIO_COMPENSADO),
       0,
       IF(AND(TIPO_DE_PONTO="Construção",$A23="Sexta"),
           Round2minute("7:00"-$H23),
           Round2minute("7:30"-$H23)))</f>
        <v>0</v>
      </c>
      <c r="N23" s="138" cm="1">
        <f t="array" aca="1" ref="N23" ca="1">IF(OR($L23=0,$B23=FIM_DE_SEMANA,$B23=FERIADO,$B23=DISPENSADO,$B23=MEIO_COMPENSADO),
   0,
   IF(TIPO_DE_PONTO="Comercial",
     IF(AND($B23=EXPEDIENTE_CORRIDO,$K23&lt;TIMEVALUE("17:00")),
       IF($K23&lt;TIMEVALUE("13:30"),
         Round2minute($K23-"13:30"),
         0),
       Round2minute($K23-"17:00")),
     IF(AND(TIPO_DE_PONTO="Construção",$A23&lt;&gt;"Sexta"),
       IF(AND($B23=EXPEDIENTE_CORRIDO,$K23&lt;TIMEVALUE("17:30")),
         IF($K23&lt;TIMEVALUE("13:30"),
           Round2minute($K23-"13:30"),
           0),
         Round2minute($K23-"17:30")),
       IF(AND($B23=EXPEDIENTE_CORRIDO,$K23&lt;TIMEVALUE("16:30")),
         IF($K23&lt;TIMEVALUE("13:30"),
           Round2minute($K23-"13:00"),
           0),
         Round2minute($K23-"16:30")))))</f>
        <v>0</v>
      </c>
      <c r="O23" s="168" cm="1">
        <f t="array" aca="1" ref="O23" ca="1">IF(OR($L23=0,$B23=FIM_DE_SEMANA,$B23=FERIADO,$B23=DISPENSADO,$B23=MEIO_COMPENSADO),
       0,
       IF(AND($B23=EXPEDIENTE_CORRIDO,AND($I23=0,$J23=0)),
         0,
         IF(AND(TIPO_DE_PONTO="Construção",$A23&lt;&gt;"Sexta"),
           Round2minute("02:00"-($J23-$I23)),
           Round2minute("01:30"-($J23-$I23)))))</f>
        <v>0</v>
      </c>
      <c r="P23" s="79" cm="1">
        <f t="array" ref="P23">IF($L23=0,
      0,
      Round2minute((-1)*SUMIF($M23:$O23,"&lt;0")-Q23-S23-R23))</f>
        <v>0</v>
      </c>
      <c r="Q23" s="227"/>
      <c r="R23" s="229"/>
      <c r="S23" s="228"/>
      <c r="T23" s="79" cm="1">
        <f t="array" aca="1" ref="T23" ca="1">IF(OR($B23=FIM_DE_SEMANA,$B23=FERIADO,$B23=DISPENSADO,$B23=MEIO_COMPENSADO),
       Round2minute($L23-U23-V23-W23-X23),
       Round2minute(SUMIF($M23:$O23,"&gt;0")-U23-V23-W23-X23))</f>
        <v>0</v>
      </c>
      <c r="U23" s="229"/>
      <c r="V23" s="229"/>
      <c r="W23" s="234"/>
      <c r="X23" s="235"/>
      <c r="Y23" s="186" t="str">
        <f ca="1">IFERROR(VLOOKUP($C23,Calendario[],3,FALSE),"")</f>
        <v/>
      </c>
      <c r="Z23" s="239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 x14ac:dyDescent="0.25">
      <c r="A24" s="33" t="str">
        <f t="shared" ca="1" si="0"/>
        <v>Terça</v>
      </c>
      <c r="B24" s="34" t="str">
        <f ca="1">IF($C24="",
  "",
  IFERROR(VLOOKUP($C24,Calendario[],2,FALSE),
    IF(WEEKDAY($C24,2)&gt;5,
      FIM_DE_SEMANA,
      DIA_UTIL)))</f>
        <v>DIA ÚTIL</v>
      </c>
      <c r="C24" s="35">
        <f t="shared" ca="1" si="1"/>
        <v>44552</v>
      </c>
      <c r="D24" s="216"/>
      <c r="E24" s="220"/>
      <c r="F24" s="217"/>
      <c r="G24" s="218"/>
      <c r="H24" s="157" cm="1">
        <f t="array" ref="H24">EntradaTratada($A24,$B24,$D24,$I24,TIPO_DE_PONTO,Calendario[DIA]:Calendario[TIPO])</f>
        <v>0</v>
      </c>
      <c r="I24" s="137" cm="1">
        <f t="array" ref="I24">SaidaAlmocoTratada($A24,$B24,$D24:$G24,TIPO_DE_PONTO,Calendario[DIA]:Calendario[TIPO])</f>
        <v>0</v>
      </c>
      <c r="J24" s="137" cm="1">
        <f t="array" ref="J24">RetornoAlmocoTratado($A24,$B24,$D24:$G24,TIPO_DE_PONTO,Calendario[DIA]:Calendario[TIPO])</f>
        <v>0</v>
      </c>
      <c r="K24" s="166" cm="1">
        <f t="array" ref="K24">SaidaTratada($A24,$B24,$D24:$G24,$J24,TIPO_DE_PONTO,Calendario[DIA]:Calendario[TIPO])</f>
        <v>0</v>
      </c>
      <c r="L24" s="159" cm="1">
        <f t="array" ref="L24">Round2minute(($I24-$H24)+($K24-$J24))</f>
        <v>0</v>
      </c>
      <c r="M24" s="138" cm="1">
        <f t="array" aca="1" ref="M24" ca="1">IF(OR($L24=0,$B24=FIM_DE_SEMANA,$B24=FERIADO,$B24=DISPENSADO,$B24=MEIO_COMPENSADO),
       0,
       IF(AND(TIPO_DE_PONTO="Construção",$A24="Sexta"),
           Round2minute("7:00"-$H24),
           Round2minute("7:30"-$H24)))</f>
        <v>0</v>
      </c>
      <c r="N24" s="138" cm="1">
        <f t="array" aca="1" ref="N24" ca="1">IF(OR($L24=0,$B24=FIM_DE_SEMANA,$B24=FERIADO,$B24=DISPENSADO,$B24=MEIO_COMPENSADO),
   0,
   IF(TIPO_DE_PONTO="Comercial",
     IF(AND($B24=EXPEDIENTE_CORRIDO,$K24&lt;TIMEVALUE("17:00")),
       IF($K24&lt;TIMEVALUE("13:30"),
         Round2minute($K24-"13:30"),
         0),
       Round2minute($K24-"17:00")),
     IF(AND(TIPO_DE_PONTO="Construção",$A24&lt;&gt;"Sexta"),
       IF(AND($B24=EXPEDIENTE_CORRIDO,$K24&lt;TIMEVALUE("17:30")),
         IF($K24&lt;TIMEVALUE("13:30"),
           Round2minute($K24-"13:30"),
           0),
         Round2minute($K24-"17:30")),
       IF(AND($B24=EXPEDIENTE_CORRIDO,$K24&lt;TIMEVALUE("16:30")),
         IF($K24&lt;TIMEVALUE("13:30"),
           Round2minute($K24-"13:00"),
           0),
         Round2minute($K24-"16:30")))))</f>
        <v>0</v>
      </c>
      <c r="O24" s="168" cm="1">
        <f t="array" aca="1" ref="O24" ca="1">IF(OR($L24=0,$B24=FIM_DE_SEMANA,$B24=FERIADO,$B24=DISPENSADO,$B24=MEIO_COMPENSADO),
       0,
       IF(AND($B24=EXPEDIENTE_CORRIDO,AND($I24=0,$J24=0)),
         0,
         IF(AND(TIPO_DE_PONTO="Construção",$A24&lt;&gt;"Sexta"),
           Round2minute("02:00"-($J24-$I24)),
           Round2minute("01:30"-($J24-$I24)))))</f>
        <v>0</v>
      </c>
      <c r="P24" s="79" cm="1">
        <f t="array" ref="P24">IF($L24=0,
      0,
      Round2minute((-1)*SUMIF($M24:$O24,"&lt;0")-Q24-S24-R24))</f>
        <v>0</v>
      </c>
      <c r="Q24" s="227"/>
      <c r="R24" s="229"/>
      <c r="S24" s="228"/>
      <c r="T24" s="79" cm="1">
        <f t="array" aca="1" ref="T24" ca="1">IF(OR($B24=FIM_DE_SEMANA,$B24=FERIADO,$B24=DISPENSADO,$B24=MEIO_COMPENSADO),
       Round2minute($L24-U24-V24-W24-X24),
       Round2minute(SUMIF($M24:$O24,"&gt;0")-U24-V24-W24-X24))</f>
        <v>0</v>
      </c>
      <c r="U24" s="229"/>
      <c r="V24" s="229"/>
      <c r="W24" s="229"/>
      <c r="X24" s="228"/>
      <c r="Y24" s="186" t="str">
        <f ca="1">IFERROR(VLOOKUP($C24,Calendario[],3,FALSE),"")</f>
        <v/>
      </c>
      <c r="Z24" s="239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 x14ac:dyDescent="0.25">
      <c r="A25" s="33" t="str">
        <f t="shared" ca="1" si="0"/>
        <v>Quarta</v>
      </c>
      <c r="B25" s="34" t="str">
        <f ca="1">IF($C25="",
  "",
  IFERROR(VLOOKUP($C25,Calendario[],2,FALSE),
    IF(WEEKDAY($C25,2)&gt;5,
      FIM_DE_SEMANA,
      DIA_UTIL)))</f>
        <v>1/2 COMPENSADO</v>
      </c>
      <c r="C25" s="35">
        <f t="shared" ca="1" si="1"/>
        <v>44553</v>
      </c>
      <c r="D25" s="216"/>
      <c r="E25" s="220"/>
      <c r="F25" s="217"/>
      <c r="G25" s="218"/>
      <c r="H25" s="157" cm="1">
        <f t="array" ref="H25">EntradaTratada($A25,$B25,$D25,$I25,TIPO_DE_PONTO,Calendario[DIA]:Calendario[TIPO])</f>
        <v>0</v>
      </c>
      <c r="I25" s="137" cm="1">
        <f t="array" ref="I25">SaidaAlmocoTratada($A25,$B25,$D25:$G25,TIPO_DE_PONTO,Calendario[DIA]:Calendario[TIPO])</f>
        <v>0</v>
      </c>
      <c r="J25" s="137" cm="1">
        <f t="array" ref="J25">RetornoAlmocoTratado($A25,$B25,$D25:$G25,TIPO_DE_PONTO,Calendario[DIA]:Calendario[TIPO])</f>
        <v>0</v>
      </c>
      <c r="K25" s="166" cm="1">
        <f t="array" ref="K25">SaidaTratada($A25,$B25,$D25:$G25,$J25,TIPO_DE_PONTO,Calendario[DIA]:Calendario[TIPO])</f>
        <v>0</v>
      </c>
      <c r="L25" s="159" cm="1">
        <f t="array" ref="L25">Round2minute(($I25-$H25)+($K25-$J25))</f>
        <v>0</v>
      </c>
      <c r="M25" s="138" cm="1">
        <f t="array" aca="1" ref="M25" ca="1">IF(OR($L25=0,$B25=FIM_DE_SEMANA,$B25=FERIADO,$B25=DISPENSADO,$B25=MEIO_COMPENSADO),
       0,
       IF(AND(TIPO_DE_PONTO="Construção",$A25="Sexta"),
           Round2minute("7:00"-$H25),
           Round2minute("7:30"-$H25)))</f>
        <v>0</v>
      </c>
      <c r="N25" s="138" cm="1">
        <f t="array" aca="1" ref="N25" ca="1">IF(OR($L25=0,$B25=FIM_DE_SEMANA,$B25=FERIADO,$B25=DISPENSADO,$B25=MEIO_COMPENSADO),
   0,
   IF(TIPO_DE_PONTO="Comercial",
     IF(AND($B25=EXPEDIENTE_CORRIDO,$K25&lt;TIMEVALUE("17:00")),
       IF($K25&lt;TIMEVALUE("13:30"),
         Round2minute($K25-"13:30"),
         0),
       Round2minute($K25-"17:00")),
     IF(AND(TIPO_DE_PONTO="Construção",$A25&lt;&gt;"Sexta"),
       IF(AND($B25=EXPEDIENTE_CORRIDO,$K25&lt;TIMEVALUE("17:30")),
         IF($K25&lt;TIMEVALUE("13:30"),
           Round2minute($K25-"13:30"),
           0),
         Round2minute($K25-"17:30")),
       IF(AND($B25=EXPEDIENTE_CORRIDO,$K25&lt;TIMEVALUE("16:30")),
         IF($K25&lt;TIMEVALUE("13:30"),
           Round2minute($K25-"13:00"),
           0),
         Round2minute($K25-"16:30")))))</f>
        <v>0</v>
      </c>
      <c r="O25" s="168" cm="1">
        <f t="array" aca="1" ref="O25" ca="1">IF(OR($L25=0,$B25=FIM_DE_SEMANA,$B25=FERIADO,$B25=DISPENSADO,$B25=MEIO_COMPENSADO),
       0,
       IF(AND($B25=EXPEDIENTE_CORRIDO,AND($I25=0,$J25=0)),
         0,
         IF(AND(TIPO_DE_PONTO="Construção",$A25&lt;&gt;"Sexta"),
           Round2minute("02:00"-($J25-$I25)),
           Round2minute("01:30"-($J25-$I25)))))</f>
        <v>0</v>
      </c>
      <c r="P25" s="79" cm="1">
        <f t="array" ref="P25">IF($L25=0,
      0,
      Round2minute((-1)*SUMIF($M25:$O25,"&lt;0")-Q25-S25-R25))</f>
        <v>0</v>
      </c>
      <c r="Q25" s="227"/>
      <c r="R25" s="229"/>
      <c r="S25" s="228"/>
      <c r="T25" s="79" cm="1">
        <f t="array" aca="1" ref="T25" ca="1">IF(OR($B25=FIM_DE_SEMANA,$B25=FERIADO,$B25=DISPENSADO,$B25=MEIO_COMPENSADO),
       Round2minute($L25-U25-V25-W25-X25),
       Round2minute(SUMIF($M25:$O25,"&gt;0")-U25-V25-W25-X25))</f>
        <v>0</v>
      </c>
      <c r="U25" s="229"/>
      <c r="V25" s="229"/>
      <c r="W25" s="229"/>
      <c r="X25" s="228"/>
      <c r="Y25" s="186" t="str">
        <f ca="1">IFERROR(VLOOKUP($C25,Calendario[],3,FALSE),"")</f>
        <v>1° Expediente - Dispensado / 2° Expediente - Compensado</v>
      </c>
      <c r="Z25" s="239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 x14ac:dyDescent="0.25">
      <c r="A26" s="33" t="str">
        <f t="shared" ca="1" si="0"/>
        <v>Quinta</v>
      </c>
      <c r="B26" s="34" t="str">
        <f ca="1">IF($C26="",
  "",
  IFERROR(VLOOKUP($C26,Calendario[],2,FALSE),
    IF(WEEKDAY($C26,2)&gt;5,
      FIM_DE_SEMANA,
      DIA_UTIL)))</f>
        <v>FERIADO</v>
      </c>
      <c r="C26" s="35">
        <f t="shared" ca="1" si="1"/>
        <v>44554</v>
      </c>
      <c r="D26" s="216"/>
      <c r="E26" s="217"/>
      <c r="F26" s="217"/>
      <c r="G26" s="218"/>
      <c r="H26" s="157" cm="1">
        <f t="array" ref="H26">EntradaTratada($A26,$B26,$D26,$I26,TIPO_DE_PONTO,Calendario[DIA]:Calendario[TIPO])</f>
        <v>0</v>
      </c>
      <c r="I26" s="137" cm="1">
        <f t="array" ref="I26">SaidaAlmocoTratada($A26,$B26,$D26:$G26,TIPO_DE_PONTO,Calendario[DIA]:Calendario[TIPO])</f>
        <v>0</v>
      </c>
      <c r="J26" s="137" cm="1">
        <f t="array" ref="J26">RetornoAlmocoTratado($A26,$B26,$D26:$G26,TIPO_DE_PONTO,Calendario[DIA]:Calendario[TIPO])</f>
        <v>0</v>
      </c>
      <c r="K26" s="166" cm="1">
        <f t="array" ref="K26">SaidaTratada($A26,$B26,$D26:$G26,$J26,TIPO_DE_PONTO,Calendario[DIA]:Calendario[TIPO])</f>
        <v>0</v>
      </c>
      <c r="L26" s="159" cm="1">
        <f t="array" ref="L26">Round2minute(($I26-$H26)+($K26-$J26))</f>
        <v>0</v>
      </c>
      <c r="M26" s="138" cm="1">
        <f t="array" aca="1" ref="M26" ca="1">IF(OR($L26=0,$B26=FIM_DE_SEMANA,$B26=FERIADO,$B26=DISPENSADO,$B26=MEIO_COMPENSADO),
       0,
       IF(AND(TIPO_DE_PONTO="Construção",$A26="Sexta"),
           Round2minute("7:00"-$H26),
           Round2minute("7:30"-$H26)))</f>
        <v>0</v>
      </c>
      <c r="N26" s="138" cm="1">
        <f t="array" aca="1" ref="N26" ca="1">IF(OR($L26=0,$B26=FIM_DE_SEMANA,$B26=FERIADO,$B26=DISPENSADO,$B26=MEIO_COMPENSADO),
   0,
   IF(TIPO_DE_PONTO="Comercial",
     IF(AND($B26=EXPEDIENTE_CORRIDO,$K26&lt;TIMEVALUE("17:00")),
       IF($K26&lt;TIMEVALUE("13:30"),
         Round2minute($K26-"13:30"),
         0),
       Round2minute($K26-"17:00")),
     IF(AND(TIPO_DE_PONTO="Construção",$A26&lt;&gt;"Sexta"),
       IF(AND($B26=EXPEDIENTE_CORRIDO,$K26&lt;TIMEVALUE("17:30")),
         IF($K26&lt;TIMEVALUE("13:30"),
           Round2minute($K26-"13:30"),
           0),
         Round2minute($K26-"17:30")),
       IF(AND($B26=EXPEDIENTE_CORRIDO,$K26&lt;TIMEVALUE("16:30")),
         IF($K26&lt;TIMEVALUE("13:30"),
           Round2minute($K26-"13:00"),
           0),
         Round2minute($K26-"16:30")))))</f>
        <v>0</v>
      </c>
      <c r="O26" s="168" cm="1">
        <f t="array" aca="1" ref="O26" ca="1">IF(OR($L26=0,$B26=FIM_DE_SEMANA,$B26=FERIADO,$B26=DISPENSADO,$B26=MEIO_COMPENSADO),
       0,
       IF(AND($B26=EXPEDIENTE_CORRIDO,AND($I26=0,$J26=0)),
         0,
         IF(AND(TIPO_DE_PONTO="Construção",$A26&lt;&gt;"Sexta"),
           Round2minute("02:00"-($J26-$I26)),
           Round2minute("01:30"-($J26-$I26)))))</f>
        <v>0</v>
      </c>
      <c r="P26" s="79" cm="1">
        <f t="array" ref="P26">IF($L26=0,
      0,
      Round2minute((-1)*SUMIF($M26:$O26,"&lt;0")-Q26-S26-R26))</f>
        <v>0</v>
      </c>
      <c r="Q26" s="227"/>
      <c r="R26" s="229"/>
      <c r="S26" s="228"/>
      <c r="T26" s="79" cm="1">
        <f t="array" aca="1" ref="T26" ca="1">IF(OR($B26=FIM_DE_SEMANA,$B26=FERIADO,$B26=DISPENSADO,$B26=MEIO_COMPENSADO),
       Round2minute($L26-U26-V26-W26-X26),
       Round2minute(SUMIF($M26:$O26,"&gt;0")-U26-V26-W26-X26))</f>
        <v>0</v>
      </c>
      <c r="U26" s="229"/>
      <c r="V26" s="229"/>
      <c r="W26" s="229"/>
      <c r="X26" s="228"/>
      <c r="Y26" s="186" t="str">
        <f ca="1">IFERROR(VLOOKUP($C26,Calendario[],3,FALSE),"")</f>
        <v>Natal - Feriado Nacional</v>
      </c>
      <c r="Z26" s="239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 x14ac:dyDescent="0.25">
      <c r="A27" s="33" t="str">
        <f t="shared" ca="1" si="0"/>
        <v>Sexta</v>
      </c>
      <c r="B27" s="34" t="str">
        <f ca="1">IF($C27="",
  "",
  IFERROR(VLOOKUP($C27,Calendario[],2,FALSE),
    IF(WEEKDAY($C27,2)&gt;5,
      FIM_DE_SEMANA,
      DIA_UTIL)))</f>
        <v>COMPENSADO</v>
      </c>
      <c r="C27" s="35">
        <f t="shared" ca="1" si="1"/>
        <v>44555</v>
      </c>
      <c r="D27" s="216"/>
      <c r="E27" s="217"/>
      <c r="F27" s="217"/>
      <c r="G27" s="218"/>
      <c r="H27" s="157" cm="1">
        <f t="array" ref="H27">EntradaTratada($A27,$B27,$D27,$I27,TIPO_DE_PONTO,Calendario[DIA]:Calendario[TIPO])</f>
        <v>0</v>
      </c>
      <c r="I27" s="137" cm="1">
        <f t="array" ref="I27">SaidaAlmocoTratada($A27,$B27,$D27:$G27,TIPO_DE_PONTO,Calendario[DIA]:Calendario[TIPO])</f>
        <v>0</v>
      </c>
      <c r="J27" s="137" cm="1">
        <f t="array" ref="J27">RetornoAlmocoTratado($A27,$B27,$D27:$G27,TIPO_DE_PONTO,Calendario[DIA]:Calendario[TIPO])</f>
        <v>0</v>
      </c>
      <c r="K27" s="166" cm="1">
        <f t="array" ref="K27">SaidaTratada($A27,$B27,$D27:$G27,$J27,TIPO_DE_PONTO,Calendario[DIA]:Calendario[TIPO])</f>
        <v>0</v>
      </c>
      <c r="L27" s="159" cm="1">
        <f t="array" ref="L27">Round2minute(($I27-$H27)+($K27-$J27))</f>
        <v>0</v>
      </c>
      <c r="M27" s="138" cm="1">
        <f t="array" aca="1" ref="M27" ca="1">IF(OR($L27=0,$B27=FIM_DE_SEMANA,$B27=FERIADO,$B27=DISPENSADO,$B27=MEIO_COMPENSADO),
       0,
       IF(AND(TIPO_DE_PONTO="Construção",$A27="Sexta"),
           Round2minute("7:00"-$H27),
           Round2minute("7:30"-$H27)))</f>
        <v>0</v>
      </c>
      <c r="N27" s="138" cm="1">
        <f t="array" aca="1" ref="N27" ca="1">IF(OR($L27=0,$B27=FIM_DE_SEMANA,$B27=FERIADO,$B27=DISPENSADO,$B27=MEIO_COMPENSADO),
   0,
   IF(TIPO_DE_PONTO="Comercial",
     IF(AND($B27=EXPEDIENTE_CORRIDO,$K27&lt;TIMEVALUE("17:00")),
       IF($K27&lt;TIMEVALUE("13:30"),
         Round2minute($K27-"13:30"),
         0),
       Round2minute($K27-"17:00")),
     IF(AND(TIPO_DE_PONTO="Construção",$A27&lt;&gt;"Sexta"),
       IF(AND($B27=EXPEDIENTE_CORRIDO,$K27&lt;TIMEVALUE("17:30")),
         IF($K27&lt;TIMEVALUE("13:30"),
           Round2minute($K27-"13:30"),
           0),
         Round2minute($K27-"17:30")),
       IF(AND($B27=EXPEDIENTE_CORRIDO,$K27&lt;TIMEVALUE("16:30")),
         IF($K27&lt;TIMEVALUE("13:30"),
           Round2minute($K27-"13:00"),
           0),
         Round2minute($K27-"16:30")))))</f>
        <v>0</v>
      </c>
      <c r="O27" s="168" cm="1">
        <f t="array" aca="1" ref="O27" ca="1">IF(OR($L27=0,$B27=FIM_DE_SEMANA,$B27=FERIADO,$B27=DISPENSADO,$B27=MEIO_COMPENSADO),
       0,
       IF(AND($B27=EXPEDIENTE_CORRIDO,AND($I27=0,$J27=0)),
         0,
         IF(AND(TIPO_DE_PONTO="Construção",$A27&lt;&gt;"Sexta"),
           Round2minute("02:00"-($J27-$I27)),
           Round2minute("01:30"-($J27-$I27)))))</f>
        <v>0</v>
      </c>
      <c r="P27" s="79" cm="1">
        <f t="array" ref="P27">IF($L27=0,
      0,
      Round2minute((-1)*SUMIF($M27:$O27,"&lt;0")-Q27-S27-R27))</f>
        <v>0</v>
      </c>
      <c r="Q27" s="227"/>
      <c r="R27" s="229"/>
      <c r="S27" s="228"/>
      <c r="T27" s="79" cm="1">
        <f t="array" aca="1" ref="T27" ca="1">IF(OR($B27=FIM_DE_SEMANA,$B27=FERIADO,$B27=DISPENSADO,$B27=MEIO_COMPENSADO),
       Round2minute($L27-U27-V27-W27-X27),
       Round2minute(SUMIF($M27:$O27,"&gt;0")-U27-V27-W27-X27))</f>
        <v>0</v>
      </c>
      <c r="U27" s="229"/>
      <c r="V27" s="229"/>
      <c r="W27" s="229"/>
      <c r="X27" s="228"/>
      <c r="Y27" s="186" t="str">
        <f ca="1">IFERROR(VLOOKUP($C27,Calendario[],3,FALSE),"")</f>
        <v>Dia Compensado Facultativo (Dia Normal)</v>
      </c>
      <c r="Z27" s="239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 x14ac:dyDescent="0.25">
      <c r="A28" s="33" t="str">
        <f t="shared" ca="1" si="0"/>
        <v>Sábado</v>
      </c>
      <c r="B28" s="34" t="str">
        <f ca="1">IF($C28="",
  "",
  IFERROR(VLOOKUP($C28,Calendario[],2,FALSE),
    IF(WEEKDAY($C28,2)&gt;5,
      FIM_DE_SEMANA,
      DIA_UTIL)))</f>
        <v>FIM DE SEMANA</v>
      </c>
      <c r="C28" s="35">
        <f t="shared" ca="1" si="1"/>
        <v>44556</v>
      </c>
      <c r="D28" s="216"/>
      <c r="E28" s="217"/>
      <c r="F28" s="217"/>
      <c r="G28" s="218"/>
      <c r="H28" s="157" cm="1">
        <f t="array" ref="H28">EntradaTratada($A28,$B28,$D28,$I28,TIPO_DE_PONTO,Calendario[DIA]:Calendario[TIPO])</f>
        <v>0</v>
      </c>
      <c r="I28" s="137" cm="1">
        <f t="array" ref="I28">SaidaAlmocoTratada($A28,$B28,$D28:$G28,TIPO_DE_PONTO,Calendario[DIA]:Calendario[TIPO])</f>
        <v>0</v>
      </c>
      <c r="J28" s="137" cm="1">
        <f t="array" ref="J28">RetornoAlmocoTratado($A28,$B28,$D28:$G28,TIPO_DE_PONTO,Calendario[DIA]:Calendario[TIPO])</f>
        <v>0</v>
      </c>
      <c r="K28" s="166" cm="1">
        <f t="array" ref="K28">SaidaTratada($A28,$B28,$D28:$G28,$J28,TIPO_DE_PONTO,Calendario[DIA]:Calendario[TIPO])</f>
        <v>0</v>
      </c>
      <c r="L28" s="159" cm="1">
        <f t="array" ref="L28">Round2minute(($I28-$H28)+($K28-$J28))</f>
        <v>0</v>
      </c>
      <c r="M28" s="138" cm="1">
        <f t="array" aca="1" ref="M28" ca="1">IF(OR($L28=0,$B28=FIM_DE_SEMANA,$B28=FERIADO,$B28=DISPENSADO,$B28=MEIO_COMPENSADO),
       0,
       IF(AND(TIPO_DE_PONTO="Construção",$A28="Sexta"),
           Round2minute("7:00"-$H28),
           Round2minute("7:30"-$H28)))</f>
        <v>0</v>
      </c>
      <c r="N28" s="138" cm="1">
        <f t="array" aca="1" ref="N28" ca="1">IF(OR($L28=0,$B28=FIM_DE_SEMANA,$B28=FERIADO,$B28=DISPENSADO,$B28=MEIO_COMPENSADO),
   0,
   IF(TIPO_DE_PONTO="Comercial",
     IF(AND($B28=EXPEDIENTE_CORRIDO,$K28&lt;TIMEVALUE("17:00")),
       IF($K28&lt;TIMEVALUE("13:30"),
         Round2minute($K28-"13:30"),
         0),
       Round2minute($K28-"17:00")),
     IF(AND(TIPO_DE_PONTO="Construção",$A28&lt;&gt;"Sexta"),
       IF(AND($B28=EXPEDIENTE_CORRIDO,$K28&lt;TIMEVALUE("17:30")),
         IF($K28&lt;TIMEVALUE("13:30"),
           Round2minute($K28-"13:30"),
           0),
         Round2minute($K28-"17:30")),
       IF(AND($B28=EXPEDIENTE_CORRIDO,$K28&lt;TIMEVALUE("16:30")),
         IF($K28&lt;TIMEVALUE("13:30"),
           Round2minute($K28-"13:00"),
           0),
         Round2minute($K28-"16:30")))))</f>
        <v>0</v>
      </c>
      <c r="O28" s="168" cm="1">
        <f t="array" aca="1" ref="O28" ca="1">IF(OR($L28=0,$B28=FIM_DE_SEMANA,$B28=FERIADO,$B28=DISPENSADO,$B28=MEIO_COMPENSADO),
       0,
       IF(AND($B28=EXPEDIENTE_CORRIDO,AND($I28=0,$J28=0)),
         0,
         IF(AND(TIPO_DE_PONTO="Construção",$A28&lt;&gt;"Sexta"),
           Round2minute("02:00"-($J28-$I28)),
           Round2minute("01:30"-($J28-$I28)))))</f>
        <v>0</v>
      </c>
      <c r="P28" s="79" cm="1">
        <f t="array" ref="P28">IF($L28=0,
      0,
      Round2minute((-1)*SUMIF($M28:$O28,"&lt;0")-Q28-S28-R28))</f>
        <v>0</v>
      </c>
      <c r="Q28" s="227"/>
      <c r="R28" s="229"/>
      <c r="S28" s="228"/>
      <c r="T28" s="79" cm="1">
        <f t="array" aca="1" ref="T28" ca="1">IF(OR($B28=FIM_DE_SEMANA,$B28=FERIADO,$B28=DISPENSADO,$B28=MEIO_COMPENSADO),
       Round2minute($L28-U28-V28-W28-X28),
       Round2minute(SUMIF($M28:$O28,"&gt;0")-U28-V28-W28-X28))</f>
        <v>0</v>
      </c>
      <c r="U28" s="229"/>
      <c r="V28" s="229"/>
      <c r="W28" s="229"/>
      <c r="X28" s="228"/>
      <c r="Y28" s="186" t="str">
        <f ca="1">IFERROR(VLOOKUP($C28,Calendario[],3,FALSE),"")</f>
        <v/>
      </c>
      <c r="Z28" s="239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 x14ac:dyDescent="0.25">
      <c r="A29" s="33" t="str">
        <f t="shared" ca="1" si="0"/>
        <v>Domingo</v>
      </c>
      <c r="B29" s="34" t="str">
        <f ca="1">IF($C29="",
  "",
  IFERROR(VLOOKUP($C29,Calendario[],2,FALSE),
    IF(WEEKDAY($C29,2)&gt;5,
      FIM_DE_SEMANA,
      DIA_UTIL)))</f>
        <v>FIM DE SEMANA</v>
      </c>
      <c r="C29" s="35">
        <f t="shared" ca="1" si="1"/>
        <v>44557</v>
      </c>
      <c r="D29" s="216"/>
      <c r="E29" s="217"/>
      <c r="F29" s="217"/>
      <c r="G29" s="218"/>
      <c r="H29" s="157" cm="1">
        <f t="array" ref="H29">EntradaTratada($A29,$B29,$D29,$I29,TIPO_DE_PONTO,Calendario[DIA]:Calendario[TIPO])</f>
        <v>0</v>
      </c>
      <c r="I29" s="137" cm="1">
        <f t="array" ref="I29">SaidaAlmocoTratada($A29,$B29,$D29:$G29,TIPO_DE_PONTO,Calendario[DIA]:Calendario[TIPO])</f>
        <v>0</v>
      </c>
      <c r="J29" s="137" cm="1">
        <f t="array" ref="J29">RetornoAlmocoTratado($A29,$B29,$D29:$G29,TIPO_DE_PONTO,Calendario[DIA]:Calendario[TIPO])</f>
        <v>0</v>
      </c>
      <c r="K29" s="166" cm="1">
        <f t="array" ref="K29">SaidaTratada($A29,$B29,$D29:$G29,$J29,TIPO_DE_PONTO,Calendario[DIA]:Calendario[TIPO])</f>
        <v>0</v>
      </c>
      <c r="L29" s="159" cm="1">
        <f t="array" ref="L29">Round2minute(($I29-$H29)+($K29-$J29))</f>
        <v>0</v>
      </c>
      <c r="M29" s="138" cm="1">
        <f t="array" aca="1" ref="M29" ca="1">IF(OR($L29=0,$B29=FIM_DE_SEMANA,$B29=FERIADO,$B29=DISPENSADO,$B29=MEIO_COMPENSADO),
       0,
       IF(AND(TIPO_DE_PONTO="Construção",$A29="Sexta"),
           Round2minute("7:00"-$H29),
           Round2minute("7:30"-$H29)))</f>
        <v>0</v>
      </c>
      <c r="N29" s="138" cm="1">
        <f t="array" aca="1" ref="N29" ca="1">IF(OR($L29=0,$B29=FIM_DE_SEMANA,$B29=FERIADO,$B29=DISPENSADO,$B29=MEIO_COMPENSADO),
   0,
   IF(TIPO_DE_PONTO="Comercial",
     IF(AND($B29=EXPEDIENTE_CORRIDO,$K29&lt;TIMEVALUE("17:00")),
       IF($K29&lt;TIMEVALUE("13:30"),
         Round2minute($K29-"13:30"),
         0),
       Round2minute($K29-"17:00")),
     IF(AND(TIPO_DE_PONTO="Construção",$A29&lt;&gt;"Sexta"),
       IF(AND($B29=EXPEDIENTE_CORRIDO,$K29&lt;TIMEVALUE("17:30")),
         IF($K29&lt;TIMEVALUE("13:30"),
           Round2minute($K29-"13:30"),
           0),
         Round2minute($K29-"17:30")),
       IF(AND($B29=EXPEDIENTE_CORRIDO,$K29&lt;TIMEVALUE("16:30")),
         IF($K29&lt;TIMEVALUE("13:30"),
           Round2minute($K29-"13:00"),
           0),
         Round2minute($K29-"16:30")))))</f>
        <v>0</v>
      </c>
      <c r="O29" s="168" cm="1">
        <f t="array" aca="1" ref="O29" ca="1">IF(OR($L29=0,$B29=FIM_DE_SEMANA,$B29=FERIADO,$B29=DISPENSADO,$B29=MEIO_COMPENSADO),
       0,
       IF(AND($B29=EXPEDIENTE_CORRIDO,AND($I29=0,$J29=0)),
         0,
         IF(AND(TIPO_DE_PONTO="Construção",$A29&lt;&gt;"Sexta"),
           Round2minute("02:00"-($J29-$I29)),
           Round2minute("01:30"-($J29-$I29)))))</f>
        <v>0</v>
      </c>
      <c r="P29" s="79" cm="1">
        <f t="array" ref="P29">IF($L29=0,
      0,
      Round2minute((-1)*SUMIF($M29:$O29,"&lt;0")-Q29-S29-R29))</f>
        <v>0</v>
      </c>
      <c r="Q29" s="227"/>
      <c r="R29" s="229"/>
      <c r="S29" s="228"/>
      <c r="T29" s="79" cm="1">
        <f t="array" aca="1" ref="T29" ca="1">IF(OR($B29=FIM_DE_SEMANA,$B29=FERIADO,$B29=DISPENSADO,$B29=MEIO_COMPENSADO),
       Round2minute($L29-U29-V29-W29-X29),
       Round2minute(SUMIF($M29:$O29,"&gt;0")-U29-V29-W29-X29))</f>
        <v>0</v>
      </c>
      <c r="U29" s="229"/>
      <c r="V29" s="229"/>
      <c r="W29" s="229"/>
      <c r="X29" s="228"/>
      <c r="Y29" s="186" t="str">
        <f ca="1">IFERROR(VLOOKUP($C29,Calendario[],3,FALSE),"")</f>
        <v/>
      </c>
      <c r="Z29" s="239"/>
    </row>
    <row r="30" spans="1:61" s="28" customFormat="1" ht="15.75" x14ac:dyDescent="0.25">
      <c r="A30" s="33" t="str">
        <f t="shared" ca="1" si="0"/>
        <v>Segunda</v>
      </c>
      <c r="B30" s="34" t="str">
        <f ca="1">IF($C30="",
  "",
  IFERROR(VLOOKUP($C30,Calendario[],2,FALSE),
    IF(WEEKDAY($C30,2)&gt;5,
      FIM_DE_SEMANA,
      DIA_UTIL)))</f>
        <v>DIA ÚTIL</v>
      </c>
      <c r="C30" s="35">
        <f t="shared" ca="1" si="1"/>
        <v>44558</v>
      </c>
      <c r="D30" s="216"/>
      <c r="E30" s="217"/>
      <c r="F30" s="217"/>
      <c r="G30" s="218"/>
      <c r="H30" s="157" cm="1">
        <f t="array" ref="H30">EntradaTratada($A30,$B30,$D30,$I30,TIPO_DE_PONTO,Calendario[DIA]:Calendario[TIPO])</f>
        <v>0</v>
      </c>
      <c r="I30" s="137" cm="1">
        <f t="array" ref="I30">SaidaAlmocoTratada($A30,$B30,$D30:$G30,TIPO_DE_PONTO,Calendario[DIA]:Calendario[TIPO])</f>
        <v>0</v>
      </c>
      <c r="J30" s="137" cm="1">
        <f t="array" ref="J30">RetornoAlmocoTratado($A30,$B30,$D30:$G30,TIPO_DE_PONTO,Calendario[DIA]:Calendario[TIPO])</f>
        <v>0</v>
      </c>
      <c r="K30" s="166" cm="1">
        <f t="array" ref="K30">SaidaTratada($A30,$B30,$D30:$G30,$J30,TIPO_DE_PONTO,Calendario[DIA]:Calendario[TIPO])</f>
        <v>0</v>
      </c>
      <c r="L30" s="159" cm="1">
        <f t="array" ref="L30">Round2minute(($I30-$H30)+($K30-$J30))</f>
        <v>0</v>
      </c>
      <c r="M30" s="138" cm="1">
        <f t="array" aca="1" ref="M30" ca="1">IF(OR($L30=0,$B30=FIM_DE_SEMANA,$B30=FERIADO,$B30=DISPENSADO,$B30=MEIO_COMPENSADO),
       0,
       IF(AND(TIPO_DE_PONTO="Construção",$A30="Sexta"),
           Round2minute("7:00"-$H30),
           Round2minute("7:30"-$H30)))</f>
        <v>0</v>
      </c>
      <c r="N30" s="138" cm="1">
        <f t="array" aca="1" ref="N30" ca="1">IF(OR($L30=0,$B30=FIM_DE_SEMANA,$B30=FERIADO,$B30=DISPENSADO,$B30=MEIO_COMPENSADO),
   0,
   IF(TIPO_DE_PONTO="Comercial",
     IF(AND($B30=EXPEDIENTE_CORRIDO,$K30&lt;TIMEVALUE("17:00")),
       IF($K30&lt;TIMEVALUE("13:30"),
         Round2minute($K30-"13:30"),
         0),
       Round2minute($K30-"17:00")),
     IF(AND(TIPO_DE_PONTO="Construção",$A30&lt;&gt;"Sexta"),
       IF(AND($B30=EXPEDIENTE_CORRIDO,$K30&lt;TIMEVALUE("17:30")),
         IF($K30&lt;TIMEVALUE("13:30"),
           Round2minute($K30-"13:30"),
           0),
         Round2minute($K30-"17:30")),
       IF(AND($B30=EXPEDIENTE_CORRIDO,$K30&lt;TIMEVALUE("16:30")),
         IF($K30&lt;TIMEVALUE("13:30"),
           Round2minute($K30-"13:00"),
           0),
         Round2minute($K30-"16:30")))))</f>
        <v>0</v>
      </c>
      <c r="O30" s="168" cm="1">
        <f t="array" aca="1" ref="O30" ca="1">IF(OR($L30=0,$B30=FIM_DE_SEMANA,$B30=FERIADO,$B30=DISPENSADO,$B30=MEIO_COMPENSADO),
       0,
       IF(AND($B30=EXPEDIENTE_CORRIDO,AND($I30=0,$J30=0)),
         0,
         IF(AND(TIPO_DE_PONTO="Construção",$A30&lt;&gt;"Sexta"),
           Round2minute("02:00"-($J30-$I30)),
           Round2minute("01:30"-($J30-$I30)))))</f>
        <v>0</v>
      </c>
      <c r="P30" s="79" cm="1">
        <f t="array" ref="P30">IF($L30=0,
      0,
      Round2minute((-1)*SUMIF($M30:$O30,"&lt;0")-Q30-S30-R30))</f>
        <v>0</v>
      </c>
      <c r="Q30" s="227"/>
      <c r="R30" s="229"/>
      <c r="S30" s="228"/>
      <c r="T30" s="79" cm="1">
        <f t="array" aca="1" ref="T30" ca="1">IF(OR($B30=FIM_DE_SEMANA,$B30=FERIADO,$B30=DISPENSADO,$B30=MEIO_COMPENSADO),
       Round2minute($L30-U30-V30-W30-X30),
       Round2minute(SUMIF($M30:$O30,"&gt;0")-U30-V30-W30-X30))</f>
        <v>0</v>
      </c>
      <c r="U30" s="229"/>
      <c r="V30" s="229"/>
      <c r="W30" s="234"/>
      <c r="X30" s="235"/>
      <c r="Y30" s="186" t="str">
        <f ca="1">IFERROR(VLOOKUP($C30,Calendario[],3,FALSE),"")</f>
        <v/>
      </c>
      <c r="Z30" s="239"/>
    </row>
    <row r="31" spans="1:61" s="28" customFormat="1" ht="15.75" x14ac:dyDescent="0.25">
      <c r="A31" s="33" t="str">
        <f t="shared" ca="1" si="0"/>
        <v>Terça</v>
      </c>
      <c r="B31" s="34" t="str">
        <f ca="1">IF($C31="",
  "",
  IFERROR(VLOOKUP($C31,Calendario[],2,FALSE),
    IF(WEEKDAY($C31,2)&gt;5,
      FIM_DE_SEMANA,
      DIA_UTIL)))</f>
        <v>DIA ÚTIL</v>
      </c>
      <c r="C31" s="35">
        <f t="shared" ca="1" si="1"/>
        <v>44559</v>
      </c>
      <c r="D31" s="216"/>
      <c r="E31" s="217"/>
      <c r="F31" s="217"/>
      <c r="G31" s="218"/>
      <c r="H31" s="157" cm="1">
        <f t="array" ref="H31">EntradaTratada($A31,$B31,$D31,$I31,TIPO_DE_PONTO,Calendario[DIA]:Calendario[TIPO])</f>
        <v>0</v>
      </c>
      <c r="I31" s="137" cm="1">
        <f t="array" ref="I31">SaidaAlmocoTratada($A31,$B31,$D31:$G31,TIPO_DE_PONTO,Calendario[DIA]:Calendario[TIPO])</f>
        <v>0</v>
      </c>
      <c r="J31" s="137" cm="1">
        <f t="array" ref="J31">RetornoAlmocoTratado($A31,$B31,$D31:$G31,TIPO_DE_PONTO,Calendario[DIA]:Calendario[TIPO])</f>
        <v>0</v>
      </c>
      <c r="K31" s="166" cm="1">
        <f t="array" ref="K31">SaidaTratada($A31,$B31,$D31:$G31,$J31,TIPO_DE_PONTO,Calendario[DIA]:Calendario[TIPO])</f>
        <v>0</v>
      </c>
      <c r="L31" s="159" cm="1">
        <f t="array" ref="L31">Round2minute(($I31-$H31)+($K31-$J31))</f>
        <v>0</v>
      </c>
      <c r="M31" s="138" cm="1">
        <f t="array" aca="1" ref="M31" ca="1">IF(OR($L31=0,$B31=FIM_DE_SEMANA,$B31=FERIADO,$B31=DISPENSADO,$B31=MEIO_COMPENSADO),
       0,
       IF(AND(TIPO_DE_PONTO="Construção",$A31="Sexta"),
           Round2minute("7:00"-$H31),
           Round2minute("7:30"-$H31)))</f>
        <v>0</v>
      </c>
      <c r="N31" s="138" cm="1">
        <f t="array" aca="1" ref="N31" ca="1">IF(OR($L31=0,$B31=FIM_DE_SEMANA,$B31=FERIADO,$B31=DISPENSADO,$B31=MEIO_COMPENSADO),
   0,
   IF(TIPO_DE_PONTO="Comercial",
     IF(AND($B31=EXPEDIENTE_CORRIDO,$K31&lt;TIMEVALUE("17:00")),
       IF($K31&lt;TIMEVALUE("13:30"),
         Round2minute($K31-"13:30"),
         0),
       Round2minute($K31-"17:00")),
     IF(AND(TIPO_DE_PONTO="Construção",$A31&lt;&gt;"Sexta"),
       IF(AND($B31=EXPEDIENTE_CORRIDO,$K31&lt;TIMEVALUE("17:30")),
         IF($K31&lt;TIMEVALUE("13:30"),
           Round2minute($K31-"13:30"),
           0),
         Round2minute($K31-"17:30")),
       IF(AND($B31=EXPEDIENTE_CORRIDO,$K31&lt;TIMEVALUE("16:30")),
         IF($K31&lt;TIMEVALUE("13:30"),
           Round2minute($K31-"13:00"),
           0),
         Round2minute($K31-"16:30")))))</f>
        <v>0</v>
      </c>
      <c r="O31" s="168" cm="1">
        <f t="array" aca="1" ref="O31" ca="1">IF(OR($L31=0,$B31=FIM_DE_SEMANA,$B31=FERIADO,$B31=DISPENSADO,$B31=MEIO_COMPENSADO),
       0,
       IF(AND($B31=EXPEDIENTE_CORRIDO,AND($I31=0,$J31=0)),
         0,
         IF(AND(TIPO_DE_PONTO="Construção",$A31&lt;&gt;"Sexta"),
           Round2minute("02:00"-($J31-$I31)),
           Round2minute("01:30"-($J31-$I31)))))</f>
        <v>0</v>
      </c>
      <c r="P31" s="79" cm="1">
        <f t="array" ref="P31">IF($L31=0,
      0,
      Round2minute((-1)*SUMIF($M31:$O31,"&lt;0")-Q31-S31-R31))</f>
        <v>0</v>
      </c>
      <c r="Q31" s="227"/>
      <c r="R31" s="229"/>
      <c r="S31" s="228"/>
      <c r="T31" s="79" cm="1">
        <f t="array" aca="1" ref="T31" ca="1">IF(OR($B31=FIM_DE_SEMANA,$B31=FERIADO,$B31=DISPENSADO,$B31=MEIO_COMPENSADO),
       Round2minute($L31-U31-V31-W31-X31),
       Round2minute(SUMIF($M31:$O31,"&gt;0")-U31-V31-W31-X31))</f>
        <v>0</v>
      </c>
      <c r="U31" s="229"/>
      <c r="V31" s="229"/>
      <c r="W31" s="234"/>
      <c r="X31" s="235"/>
      <c r="Y31" s="186" t="str">
        <f ca="1">IFERROR(VLOOKUP($C31,Calendario[],3,FALSE),"")</f>
        <v/>
      </c>
      <c r="Z31" s="239"/>
    </row>
    <row r="32" spans="1:61" s="28" customFormat="1" ht="16.5" thickBot="1" x14ac:dyDescent="0.3">
      <c r="A32" s="80" t="str">
        <f t="shared" ca="1" si="0"/>
        <v>Quarta</v>
      </c>
      <c r="B32" s="145" t="str">
        <f ca="1">IF($C32="",
  "",
  IFERROR(VLOOKUP($C32,Calendario[],2,FALSE),
    IF(WEEKDAY($C32,2)&gt;5,
      FIM_DE_SEMANA,
      DIA_UTIL)))</f>
        <v>1/2 COMPENSADO</v>
      </c>
      <c r="C32" s="35">
        <f t="shared" ca="1" si="1"/>
        <v>44560</v>
      </c>
      <c r="D32" s="221"/>
      <c r="E32" s="220"/>
      <c r="F32" s="220"/>
      <c r="G32" s="222"/>
      <c r="H32" s="158" cm="1">
        <f t="array" ref="H32">EntradaTratada($A32,$B32,$D32,$I32,TIPO_DE_PONTO,Calendario[DIA]:Calendario[TIPO])</f>
        <v>0</v>
      </c>
      <c r="I32" s="147" cm="1">
        <f t="array" ref="I32">SaidaAlmocoTratada($A32,$B32,$D32:$G32,TIPO_DE_PONTO,Calendario[DIA]:Calendario[TIPO])</f>
        <v>0</v>
      </c>
      <c r="J32" s="147" cm="1">
        <f t="array" ref="J32">RetornoAlmocoTratado($A32,$B32,$D32:$G32,TIPO_DE_PONTO,Calendario[DIA]:Calendario[TIPO])</f>
        <v>0</v>
      </c>
      <c r="K32" s="167" cm="1">
        <f t="array" ref="K32">SaidaTratada($A32,$B32,$D32:$G32,$J32,TIPO_DE_PONTO,Calendario[DIA]:Calendario[TIPO])</f>
        <v>0</v>
      </c>
      <c r="L32" s="160" cm="1">
        <f t="array" ref="L32">Round2minute(($I32-$H32)+($K32-$J32))</f>
        <v>0</v>
      </c>
      <c r="M32" s="142" cm="1">
        <f t="array" aca="1" ref="M32" ca="1">IF(OR($L32=0,$B32=FIM_DE_SEMANA,$B32=FERIADO,$B32=DISPENSADO,$B32=MEIO_COMPENSADO),
       0,
       IF(AND(TIPO_DE_PONTO="Construção",$A32="Sexta"),
           Round2minute("7:00"-$H32),
           Round2minute("7:30"-$H32)))</f>
        <v>0</v>
      </c>
      <c r="N32" s="142" cm="1">
        <f t="array" aca="1" ref="N32" ca="1">IF(OR($L32=0,$B32=FIM_DE_SEMANA,$B32=FERIADO,$B32=DISPENSADO,$B32=MEIO_COMPENSADO),
   0,
   IF(TIPO_DE_PONTO="Comercial",
     IF(AND($B32=EXPEDIENTE_CORRIDO,$K32&lt;TIMEVALUE("17:00")),
       IF($K32&lt;TIMEVALUE("13:30"),
         Round2minute($K32-"13:30"),
         0),
       Round2minute($K32-"17:00")),
     IF(AND(TIPO_DE_PONTO="Construção",$A32&lt;&gt;"Sexta"),
       IF(AND($B32=EXPEDIENTE_CORRIDO,$K32&lt;TIMEVALUE("17:30")),
         IF($K32&lt;TIMEVALUE("13:30"),
           Round2minute($K32-"13:30"),
           0),
         Round2minute($K32-"17:30")),
       IF(AND($B32=EXPEDIENTE_CORRIDO,$K32&lt;TIMEVALUE("16:30")),
         IF($K32&lt;TIMEVALUE("13:30"),
           Round2minute($K32-"13:00"),
           0),
         Round2minute($K32-"16:30")))))</f>
        <v>0</v>
      </c>
      <c r="O32" s="169" cm="1">
        <f t="array" aca="1" ref="O32" ca="1">IF(OR($L32=0,$B32=FIM_DE_SEMANA,$B32=FERIADO,$B32=DISPENSADO,$B32=MEIO_COMPENSADO),
       0,
       IF(AND($B32=EXPEDIENTE_CORRIDO,AND($I32=0,$J32=0)),
         0,
         IF(AND(TIPO_DE_PONTO="Construção",$A32&lt;&gt;"Sexta"),
           Round2minute("02:00"-($J32-$I32)),
           Round2minute("01:30"-($J32-$I32)))))</f>
        <v>0</v>
      </c>
      <c r="P32" s="161" cm="1">
        <f t="array" ref="P32">IF($L32=0,
      0,
      Round2minute((-1)*SUMIF($M32:$O32,"&lt;0")-Q32-S32-R32))</f>
        <v>0</v>
      </c>
      <c r="Q32" s="230"/>
      <c r="R32" s="257"/>
      <c r="S32" s="236"/>
      <c r="T32" s="161" cm="1">
        <f t="array" aca="1" ref="T32" ca="1">IF(OR($B32=FIM_DE_SEMANA,$B32=FERIADO,$B32=DISPENSADO,$B32=MEIO_COMPENSADO),
       Round2minute($L32-U32-V32-W32-X32),
       Round2minute(SUMIF($M32:$O32,"&gt;0")-U32-V32-W32-X32))</f>
        <v>0</v>
      </c>
      <c r="U32" s="231"/>
      <c r="V32" s="231"/>
      <c r="W32" s="231"/>
      <c r="X32" s="236"/>
      <c r="Y32" s="187" t="str">
        <f ca="1">IFERROR(VLOOKUP($C32,Calendario[],3,FALSE),"")</f>
        <v>1° Expediente - Dispensado / 2° Expediente - Compensado</v>
      </c>
      <c r="Z32" s="240"/>
    </row>
    <row r="33" spans="1:29" s="14" customFormat="1" ht="24.95" customHeight="1" thickBot="1" x14ac:dyDescent="0.3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2"/>
      <c r="M33" s="212"/>
      <c r="N33" s="212"/>
      <c r="O33" s="212"/>
      <c r="P33" s="178" cm="1">
        <f t="array" ref="P33">Round2minute(SUMIF(P$2:P$32,"&gt;0:00"))</f>
        <v>0</v>
      </c>
      <c r="Q33" s="128" cm="1">
        <f t="array" ref="Q33">Round2minute(SUMIF(Q$2:Q$32,"&gt;0:00"))</f>
        <v>0</v>
      </c>
      <c r="R33" s="124" cm="1">
        <f t="array" ref="R33">Round2minute(SUMIF(R$2:R$32,"&gt;0:00"))</f>
        <v>0</v>
      </c>
      <c r="S33" s="184" cm="1">
        <f t="array" ref="S33">Round2minute(SUMIF(S$2:S$32,"&gt;0:00"))</f>
        <v>0</v>
      </c>
      <c r="T33" s="178" cm="1">
        <f t="array" aca="1" ref="T33" ca="1">Round2minute(SUMIF(T$2:T$32,"&gt;0:00"))</f>
        <v>0</v>
      </c>
      <c r="U33" s="128" cm="1">
        <f t="array" ref="U33">Round2minute(SUMIF(U$2:U$32,"&gt;0:00"))</f>
        <v>0</v>
      </c>
      <c r="V33" s="128" cm="1">
        <f t="array" ref="V33">Round2minute(SUMIF(V$2:V$32,"&gt;0:00"))</f>
        <v>0</v>
      </c>
      <c r="W33" s="125" cm="1">
        <f t="array" ref="W33">Round2minute(SUMIF(W$2:W$32,"&gt;0:00"))</f>
        <v>0</v>
      </c>
      <c r="X33" s="126" cm="1">
        <f t="array" ref="X33">Round2minute(SUMIF(X$2:X$32,"&gt;0:00"))</f>
        <v>0</v>
      </c>
      <c r="Y33" s="209"/>
      <c r="Z33" s="210"/>
      <c r="AA33" s="199"/>
      <c r="AB33" s="28"/>
      <c r="AC33" s="28"/>
    </row>
    <row r="34" spans="1:29" s="14" customFormat="1" ht="15.75" customHeight="1" x14ac:dyDescent="0.25">
      <c r="A34" s="28"/>
      <c r="B34" s="28"/>
      <c r="C34" s="195" t="s">
        <v>0</v>
      </c>
      <c r="D34" s="196" t="s">
        <v>9</v>
      </c>
      <c r="E34" s="322" t="s">
        <v>100</v>
      </c>
      <c r="F34" s="322"/>
      <c r="G34" s="322"/>
      <c r="H34" s="322"/>
      <c r="I34" s="322"/>
      <c r="J34" s="322"/>
      <c r="K34" s="322"/>
      <c r="L34" s="322"/>
      <c r="M34" s="322"/>
      <c r="N34" s="323"/>
      <c r="O34" s="28"/>
      <c r="P34" s="313" t="s">
        <v>105</v>
      </c>
      <c r="Q34" s="139"/>
      <c r="R34" s="139"/>
      <c r="S34" s="139"/>
      <c r="T34" s="139"/>
      <c r="U34" s="141"/>
      <c r="V34" s="179"/>
      <c r="W34" s="179"/>
      <c r="X34" s="127"/>
      <c r="Y34" s="28"/>
      <c r="Z34" s="28"/>
      <c r="AA34" s="28"/>
      <c r="AB34" s="28"/>
      <c r="AC34" s="28"/>
    </row>
    <row r="35" spans="1:29" s="14" customFormat="1" ht="15" customHeight="1" x14ac:dyDescent="0.25">
      <c r="A35" s="28"/>
      <c r="B35" s="28"/>
      <c r="C35" s="241"/>
      <c r="D35" s="242"/>
      <c r="E35" s="324"/>
      <c r="F35" s="324"/>
      <c r="G35" s="324"/>
      <c r="H35" s="324"/>
      <c r="I35" s="324"/>
      <c r="J35" s="324"/>
      <c r="K35" s="324"/>
      <c r="L35" s="324"/>
      <c r="M35" s="324"/>
      <c r="N35" s="325"/>
      <c r="O35" s="28"/>
      <c r="P35" s="313"/>
      <c r="Q35" s="139"/>
      <c r="R35" s="140" t="s">
        <v>108</v>
      </c>
      <c r="S35" s="179"/>
      <c r="T35" s="172"/>
      <c r="U35" s="179"/>
      <c r="V35" s="141"/>
      <c r="W35" s="141"/>
      <c r="X35" s="127"/>
      <c r="Y35" s="28"/>
      <c r="Z35" s="28"/>
      <c r="AA35" s="28"/>
      <c r="AB35" s="28"/>
      <c r="AC35" s="28"/>
    </row>
    <row r="36" spans="1:29" s="14" customFormat="1" ht="15" customHeight="1" x14ac:dyDescent="0.25">
      <c r="A36" s="28"/>
      <c r="B36" s="28"/>
      <c r="C36" s="241"/>
      <c r="D36" s="242"/>
      <c r="E36" s="324"/>
      <c r="F36" s="324"/>
      <c r="G36" s="324"/>
      <c r="H36" s="324"/>
      <c r="I36" s="324"/>
      <c r="J36" s="324"/>
      <c r="K36" s="324"/>
      <c r="L36" s="324"/>
      <c r="M36" s="324"/>
      <c r="N36" s="325"/>
      <c r="O36" s="28"/>
      <c r="P36" s="313"/>
      <c r="Q36" s="306" cm="1">
        <f t="array" ref="Q36">Round2minute($U$33-$Q$33)</f>
        <v>0</v>
      </c>
      <c r="R36" s="307"/>
      <c r="S36" s="308"/>
      <c r="T36" s="172"/>
      <c r="U36" s="140" t="s">
        <v>39</v>
      </c>
      <c r="V36" s="139"/>
      <c r="W36" s="140" t="s">
        <v>39</v>
      </c>
      <c r="X36" s="180"/>
      <c r="Y36" s="28"/>
      <c r="Z36" s="28"/>
      <c r="AA36" s="28"/>
      <c r="AB36" s="28"/>
      <c r="AC36" s="28"/>
    </row>
    <row r="37" spans="1:29" s="14" customFormat="1" ht="15" customHeight="1" x14ac:dyDescent="0.25">
      <c r="A37" s="28"/>
      <c r="B37" s="28"/>
      <c r="C37" s="241"/>
      <c r="D37" s="242"/>
      <c r="E37" s="324"/>
      <c r="F37" s="324"/>
      <c r="G37" s="324"/>
      <c r="H37" s="324"/>
      <c r="I37" s="324"/>
      <c r="J37" s="324"/>
      <c r="K37" s="324"/>
      <c r="L37" s="324"/>
      <c r="M37" s="324"/>
      <c r="N37" s="325"/>
      <c r="O37" s="28"/>
      <c r="P37" s="313"/>
      <c r="Q37" s="309"/>
      <c r="R37" s="310"/>
      <c r="S37" s="311"/>
      <c r="T37" s="176"/>
      <c r="U37" s="182">
        <f ca="1">IF(RIGHT(CELL("filename",$C$2),3)="Jan",
  (-1)*CRE_2,
  INDIRECT("'"&amp;(PROPER(TEXT(DATE(ANO,MONTH(DATEVALUE("1" &amp; RIGHT(CELL("filename",$C$2),3) &amp; ANO))-1,1),"mmm")))&amp;"'!$W$37"))</f>
        <v>-2.1041666666666665</v>
      </c>
      <c r="V37" s="181"/>
      <c r="W37" s="183">
        <f ca="1">$U$37+$V$33</f>
        <v>-2.1041666666666665</v>
      </c>
      <c r="X37" s="180"/>
      <c r="Y37" s="28"/>
      <c r="Z37" s="28"/>
      <c r="AA37" s="28"/>
      <c r="AB37" s="28"/>
      <c r="AC37" s="28"/>
    </row>
    <row r="38" spans="1:29" s="14" customFormat="1" ht="15" customHeight="1" x14ac:dyDescent="0.25">
      <c r="A38" s="28"/>
      <c r="B38" s="28"/>
      <c r="C38" s="241"/>
      <c r="D38" s="242"/>
      <c r="E38" s="324"/>
      <c r="F38" s="324"/>
      <c r="G38" s="324"/>
      <c r="H38" s="324"/>
      <c r="I38" s="324"/>
      <c r="J38" s="324"/>
      <c r="K38" s="324"/>
      <c r="L38" s="324"/>
      <c r="M38" s="324"/>
      <c r="N38" s="325"/>
      <c r="O38" s="28"/>
      <c r="P38" s="313"/>
      <c r="Q38" s="312" t="s">
        <v>120</v>
      </c>
      <c r="R38" s="312"/>
      <c r="S38" s="312"/>
      <c r="T38" s="141"/>
      <c r="U38" s="141" t="s">
        <v>121</v>
      </c>
      <c r="V38" s="181"/>
      <c r="W38" s="141" t="s">
        <v>123</v>
      </c>
      <c r="X38" s="173"/>
      <c r="Y38" s="28"/>
      <c r="Z38" s="28"/>
      <c r="AA38" s="28"/>
      <c r="AB38" s="28"/>
      <c r="AC38" s="28"/>
    </row>
    <row r="39" spans="1:29" s="14" customFormat="1" ht="15" customHeight="1" x14ac:dyDescent="0.25">
      <c r="A39" s="28"/>
      <c r="B39" s="28"/>
      <c r="C39" s="243"/>
      <c r="D39" s="244"/>
      <c r="E39" s="319"/>
      <c r="F39" s="320"/>
      <c r="G39" s="320"/>
      <c r="H39" s="320"/>
      <c r="I39" s="320"/>
      <c r="J39" s="320"/>
      <c r="K39" s="320"/>
      <c r="L39" s="320"/>
      <c r="M39" s="320"/>
      <c r="N39" s="321"/>
      <c r="O39" s="28"/>
      <c r="P39" s="313"/>
      <c r="Q39" s="141"/>
      <c r="R39" s="141"/>
      <c r="S39" s="141"/>
      <c r="T39" s="141"/>
      <c r="U39" s="141"/>
      <c r="V39" s="181"/>
      <c r="W39" s="141" t="s">
        <v>122</v>
      </c>
      <c r="X39" s="173"/>
      <c r="Y39" s="28"/>
      <c r="Z39" s="28"/>
      <c r="AA39" s="28"/>
      <c r="AB39" s="28"/>
      <c r="AC39" s="28"/>
    </row>
    <row r="40" spans="1:29" s="14" customFormat="1" ht="15" customHeight="1" x14ac:dyDescent="0.25">
      <c r="A40" s="28"/>
      <c r="B40" s="28"/>
      <c r="C40" s="243"/>
      <c r="D40" s="244"/>
      <c r="E40" s="319"/>
      <c r="F40" s="320"/>
      <c r="G40" s="320"/>
      <c r="H40" s="320"/>
      <c r="I40" s="320"/>
      <c r="J40" s="320"/>
      <c r="K40" s="320"/>
      <c r="L40" s="320"/>
      <c r="M40" s="320"/>
      <c r="N40" s="321"/>
      <c r="O40" s="28"/>
      <c r="P40" s="313"/>
      <c r="Q40" s="141"/>
      <c r="R40" s="141"/>
      <c r="S40" s="306" cm="1">
        <f t="array" aca="1" ref="S40" ca="1">Round2minute(SUM($T$33:$W$33)-SUM($P$33:$R$33))</f>
        <v>0</v>
      </c>
      <c r="T40" s="307"/>
      <c r="U40" s="308"/>
      <c r="V40" s="181"/>
      <c r="W40" s="141"/>
      <c r="X40" s="173"/>
      <c r="Y40" s="28"/>
      <c r="Z40" s="28"/>
      <c r="AA40" s="28"/>
      <c r="AB40" s="28"/>
      <c r="AC40" s="28"/>
    </row>
    <row r="41" spans="1:29" s="14" customFormat="1" ht="15" customHeight="1" x14ac:dyDescent="0.25">
      <c r="A41" s="28"/>
      <c r="B41" s="28"/>
      <c r="C41" s="243"/>
      <c r="D41" s="244"/>
      <c r="E41" s="319"/>
      <c r="F41" s="320"/>
      <c r="G41" s="320"/>
      <c r="H41" s="320"/>
      <c r="I41" s="320"/>
      <c r="J41" s="320"/>
      <c r="K41" s="320"/>
      <c r="L41" s="320"/>
      <c r="M41" s="320"/>
      <c r="N41" s="321"/>
      <c r="O41" s="28"/>
      <c r="P41" s="313"/>
      <c r="Q41" s="141"/>
      <c r="R41" s="141"/>
      <c r="S41" s="309"/>
      <c r="T41" s="310"/>
      <c r="U41" s="311"/>
      <c r="V41" s="181"/>
      <c r="W41" s="141"/>
      <c r="X41" s="173"/>
      <c r="Y41" s="28"/>
      <c r="Z41" s="28"/>
      <c r="AA41" s="28"/>
      <c r="AB41" s="28"/>
      <c r="AC41" s="28"/>
    </row>
    <row r="42" spans="1:29" s="14" customFormat="1" ht="15" customHeight="1" x14ac:dyDescent="0.25">
      <c r="A42" s="28"/>
      <c r="B42" s="28"/>
      <c r="C42" s="243"/>
      <c r="D42" s="244"/>
      <c r="E42" s="319"/>
      <c r="F42" s="320"/>
      <c r="G42" s="320"/>
      <c r="H42" s="320"/>
      <c r="I42" s="320"/>
      <c r="J42" s="320"/>
      <c r="K42" s="320"/>
      <c r="L42" s="320"/>
      <c r="M42" s="320"/>
      <c r="N42" s="321"/>
      <c r="O42" s="28"/>
      <c r="P42" s="313"/>
      <c r="Q42" s="141"/>
      <c r="R42" s="141"/>
      <c r="S42" s="312" t="s">
        <v>139</v>
      </c>
      <c r="T42" s="312"/>
      <c r="U42" s="312"/>
      <c r="V42" s="181"/>
      <c r="W42" s="141"/>
      <c r="X42" s="173"/>
      <c r="Y42" s="28"/>
      <c r="Z42" s="28"/>
      <c r="AA42" s="28"/>
      <c r="AB42" s="28"/>
      <c r="AC42" s="28"/>
    </row>
    <row r="43" spans="1:29" s="14" customFormat="1" ht="15" customHeight="1" thickBot="1" x14ac:dyDescent="0.3">
      <c r="A43" s="28"/>
      <c r="B43" s="28"/>
      <c r="C43" s="243"/>
      <c r="D43" s="244"/>
      <c r="E43" s="315"/>
      <c r="F43" s="315"/>
      <c r="G43" s="315"/>
      <c r="H43" s="315"/>
      <c r="I43" s="315"/>
      <c r="J43" s="315"/>
      <c r="K43" s="315"/>
      <c r="L43" s="315"/>
      <c r="M43" s="315"/>
      <c r="N43" s="316"/>
      <c r="O43" s="28"/>
      <c r="P43" s="314"/>
      <c r="Q43" s="174"/>
      <c r="R43" s="174"/>
      <c r="S43" s="174"/>
      <c r="T43" s="174"/>
      <c r="U43" s="174"/>
      <c r="V43" s="174"/>
      <c r="W43" s="174"/>
      <c r="X43" s="175"/>
      <c r="Y43" s="28"/>
      <c r="Z43" s="28"/>
      <c r="AA43" s="199"/>
      <c r="AB43" s="28"/>
      <c r="AC43" s="28"/>
    </row>
    <row r="44" spans="1:29" s="14" customFormat="1" ht="15" customHeight="1" x14ac:dyDescent="0.25">
      <c r="A44" s="28"/>
      <c r="B44" s="28"/>
      <c r="C44" s="243"/>
      <c r="D44" s="244"/>
      <c r="E44" s="315"/>
      <c r="F44" s="315"/>
      <c r="G44" s="315"/>
      <c r="H44" s="315"/>
      <c r="I44" s="315"/>
      <c r="J44" s="315"/>
      <c r="K44" s="315"/>
      <c r="L44" s="315"/>
      <c r="M44" s="315"/>
      <c r="N44" s="316"/>
      <c r="O44" s="28"/>
      <c r="P44" s="92"/>
      <c r="Q44" s="92"/>
      <c r="R44" s="92"/>
      <c r="S44" s="197"/>
      <c r="T44" s="92"/>
      <c r="U44" s="92"/>
      <c r="V44" s="92"/>
      <c r="W44" s="92"/>
      <c r="X44" s="92"/>
      <c r="Y44" s="28"/>
      <c r="Z44" s="28"/>
      <c r="AA44" s="198"/>
      <c r="AB44" s="28"/>
      <c r="AC44" s="28"/>
    </row>
    <row r="45" spans="1:29" s="14" customFormat="1" ht="15" customHeight="1" x14ac:dyDescent="0.25">
      <c r="A45" s="28"/>
      <c r="B45" s="28"/>
      <c r="C45" s="243"/>
      <c r="D45" s="244"/>
      <c r="E45" s="315"/>
      <c r="F45" s="315"/>
      <c r="G45" s="315"/>
      <c r="H45" s="315"/>
      <c r="I45" s="315"/>
      <c r="J45" s="315"/>
      <c r="K45" s="315"/>
      <c r="L45" s="315"/>
      <c r="M45" s="315"/>
      <c r="N45" s="316"/>
      <c r="O45" s="92"/>
      <c r="P45" s="92"/>
      <c r="Q45" s="92"/>
      <c r="R45" s="92"/>
      <c r="S45" s="92"/>
      <c r="T45" s="92"/>
      <c r="U45" s="28"/>
      <c r="V45" s="28"/>
      <c r="W45" s="28"/>
      <c r="X45" s="28"/>
      <c r="Y45" s="28"/>
      <c r="Z45" s="28"/>
      <c r="AA45" s="199"/>
      <c r="AB45" s="28"/>
      <c r="AC45" s="28"/>
    </row>
    <row r="46" spans="1:29" s="14" customFormat="1" ht="15" customHeight="1" x14ac:dyDescent="0.25">
      <c r="A46" s="28"/>
      <c r="B46" s="28"/>
      <c r="C46" s="243"/>
      <c r="D46" s="244"/>
      <c r="E46" s="315"/>
      <c r="F46" s="315"/>
      <c r="G46" s="315"/>
      <c r="H46" s="315"/>
      <c r="I46" s="315"/>
      <c r="J46" s="315"/>
      <c r="K46" s="315"/>
      <c r="L46" s="315"/>
      <c r="M46" s="315"/>
      <c r="N46" s="316"/>
      <c r="O46" s="198"/>
      <c r="P46" s="200"/>
      <c r="Q46" s="92"/>
      <c r="R46" s="28"/>
      <c r="S46" s="28"/>
      <c r="T46" s="92"/>
      <c r="U46" s="28"/>
      <c r="V46" s="28"/>
      <c r="W46" s="28"/>
      <c r="X46" s="28"/>
      <c r="Y46" s="28"/>
      <c r="Z46" s="28"/>
      <c r="AA46" s="199"/>
      <c r="AB46" s="28"/>
      <c r="AC46" s="28"/>
    </row>
    <row r="47" spans="1:29" s="14" customFormat="1" ht="15" customHeight="1" thickBot="1" x14ac:dyDescent="0.3">
      <c r="A47" s="28"/>
      <c r="B47" s="28"/>
      <c r="C47" s="245"/>
      <c r="D47" s="246"/>
      <c r="E47" s="317"/>
      <c r="F47" s="317"/>
      <c r="G47" s="317"/>
      <c r="H47" s="317"/>
      <c r="I47" s="317"/>
      <c r="J47" s="317"/>
      <c r="K47" s="317"/>
      <c r="L47" s="317"/>
      <c r="M47" s="317"/>
      <c r="N47" s="318"/>
      <c r="O47" s="28"/>
      <c r="P47" s="28"/>
      <c r="Q47" s="28"/>
      <c r="R47" s="28"/>
      <c r="S47" s="28"/>
      <c r="T47" s="92"/>
      <c r="U47" s="28"/>
      <c r="V47" s="28"/>
      <c r="W47" s="28"/>
      <c r="X47" s="28"/>
      <c r="Y47" s="28"/>
      <c r="Z47" s="28"/>
      <c r="AA47" s="201"/>
      <c r="AB47" s="28"/>
      <c r="AC47" s="28"/>
    </row>
    <row r="48" spans="1:29" s="14" customFormat="1" ht="14.25" customHeight="1" x14ac:dyDescent="0.25">
      <c r="A48" s="202"/>
      <c r="B48" s="202"/>
      <c r="C48" s="247"/>
      <c r="D48" s="248"/>
      <c r="E48" s="248"/>
      <c r="F48" s="248"/>
      <c r="G48" s="248"/>
      <c r="H48" s="248"/>
      <c r="I48" s="248"/>
      <c r="J48" s="248"/>
      <c r="K48" s="248"/>
      <c r="L48" s="247"/>
      <c r="M48" s="247"/>
      <c r="N48" s="247"/>
      <c r="O48" s="28"/>
      <c r="P48" s="28"/>
      <c r="Q48" s="28"/>
      <c r="R48" s="28"/>
      <c r="S48" s="28"/>
      <c r="T48" s="92"/>
      <c r="U48" s="28"/>
      <c r="V48" s="28"/>
      <c r="W48" s="28"/>
      <c r="X48" s="203"/>
      <c r="Y48" s="201"/>
      <c r="Z48" s="203"/>
      <c r="AA48" s="204"/>
      <c r="AB48" s="28"/>
      <c r="AC48" s="28"/>
    </row>
    <row r="49" spans="1:29" s="3" customFormat="1" ht="15.75" x14ac:dyDescent="0.25">
      <c r="A49" s="28"/>
      <c r="B49" s="28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8"/>
      <c r="P49" s="28"/>
      <c r="Q49" s="28"/>
      <c r="R49" s="28"/>
      <c r="S49" s="28"/>
      <c r="T49" s="28"/>
      <c r="U49" s="28"/>
      <c r="V49" s="92"/>
      <c r="W49" s="92"/>
      <c r="X49" s="92"/>
      <c r="Y49" s="205"/>
      <c r="Z49" s="200"/>
      <c r="AA49" s="199"/>
      <c r="AB49" s="28"/>
      <c r="AC49" s="28"/>
    </row>
    <row r="50" spans="1:29" s="3" customFormat="1" ht="15.75" x14ac:dyDescent="0.25">
      <c r="A50" s="206"/>
      <c r="B50" s="206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7"/>
      <c r="N50" s="247"/>
      <c r="O50" s="28"/>
      <c r="P50" s="92"/>
      <c r="Q50" s="92"/>
      <c r="R50" s="92"/>
      <c r="S50" s="92"/>
      <c r="T50" s="92"/>
      <c r="U50" s="92"/>
      <c r="V50" s="92"/>
      <c r="W50" s="92"/>
      <c r="X50" s="203"/>
      <c r="Y50" s="201"/>
      <c r="Z50" s="207"/>
      <c r="AA50" s="199"/>
      <c r="AB50" s="28"/>
      <c r="AC50" s="28"/>
    </row>
    <row r="51" spans="1:29" s="3" customFormat="1" ht="15.75" x14ac:dyDescent="0.25">
      <c r="A51" s="206"/>
      <c r="B51" s="206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7"/>
      <c r="N51" s="247"/>
      <c r="O51" s="28"/>
      <c r="P51" s="92"/>
      <c r="Q51" s="92"/>
      <c r="R51" s="92"/>
      <c r="S51" s="92"/>
      <c r="T51" s="92"/>
      <c r="U51" s="92"/>
      <c r="V51" s="92"/>
      <c r="W51" s="92"/>
      <c r="X51" s="208"/>
      <c r="Y51" s="204"/>
      <c r="Z51" s="92"/>
      <c r="AA51" s="199"/>
      <c r="AB51" s="28"/>
      <c r="AC51" s="28"/>
    </row>
    <row r="52" spans="1:29" s="3" customFormat="1" ht="15.75" x14ac:dyDescent="0.25">
      <c r="A52" s="206"/>
      <c r="B52" s="206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7"/>
      <c r="N52" s="247"/>
      <c r="O52" s="28"/>
      <c r="P52" s="92"/>
      <c r="Q52" s="92"/>
      <c r="R52" s="92"/>
      <c r="S52" s="92"/>
      <c r="T52" s="92"/>
      <c r="U52" s="92"/>
      <c r="V52" s="92"/>
      <c r="W52" s="92"/>
      <c r="X52" s="203"/>
      <c r="Y52" s="201"/>
      <c r="Z52" s="203"/>
      <c r="AA52" s="199"/>
      <c r="AB52" s="28"/>
      <c r="AC52" s="28"/>
    </row>
    <row r="53" spans="1:29" s="3" customFormat="1" ht="15.75" x14ac:dyDescent="0.25">
      <c r="A53" s="206"/>
      <c r="B53" s="206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7"/>
      <c r="N53" s="247"/>
      <c r="O53" s="28"/>
      <c r="P53" s="92"/>
      <c r="Q53" s="92"/>
      <c r="R53" s="92"/>
      <c r="S53" s="92"/>
      <c r="T53" s="92"/>
      <c r="U53" s="92"/>
      <c r="V53" s="92"/>
      <c r="W53" s="92"/>
      <c r="X53" s="203"/>
      <c r="Y53" s="201"/>
      <c r="Z53" s="203"/>
      <c r="AA53" s="199"/>
      <c r="AB53" s="28"/>
      <c r="AC53" s="28"/>
    </row>
    <row r="54" spans="1:29" s="3" customFormat="1" ht="15.75" x14ac:dyDescent="0.25">
      <c r="A54" s="206"/>
      <c r="B54" s="206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92"/>
      <c r="P54" s="92"/>
      <c r="Q54" s="92"/>
      <c r="R54" s="92"/>
      <c r="S54" s="92"/>
      <c r="T54" s="92"/>
      <c r="U54" s="92"/>
      <c r="V54" s="92"/>
      <c r="W54" s="92"/>
      <c r="X54" s="203"/>
      <c r="Y54" s="201"/>
      <c r="Z54" s="203"/>
      <c r="AA54" s="199"/>
      <c r="AB54" s="28"/>
      <c r="AC54" s="28"/>
    </row>
    <row r="55" spans="1:29" s="3" customFormat="1" ht="15.75" x14ac:dyDescent="0.25">
      <c r="A55" s="206"/>
      <c r="B55" s="206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92"/>
      <c r="P55" s="92"/>
      <c r="Q55" s="92"/>
      <c r="R55" s="92"/>
      <c r="S55" s="92"/>
      <c r="T55" s="92"/>
      <c r="U55" s="92"/>
      <c r="V55" s="92"/>
      <c r="W55" s="92"/>
      <c r="X55" s="203"/>
      <c r="Y55" s="201"/>
      <c r="Z55" s="203"/>
      <c r="AA55" s="199"/>
      <c r="AB55" s="28"/>
      <c r="AC55" s="28"/>
    </row>
    <row r="56" spans="1:29" s="3" customFormat="1" ht="15.75" x14ac:dyDescent="0.25">
      <c r="A56" s="206"/>
      <c r="B56" s="206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92"/>
      <c r="P56" s="92"/>
      <c r="Q56" s="92"/>
      <c r="R56" s="92"/>
      <c r="S56" s="92"/>
      <c r="T56" s="92"/>
      <c r="U56" s="92"/>
      <c r="V56" s="92"/>
      <c r="W56" s="92"/>
      <c r="X56" s="203"/>
      <c r="Y56" s="201"/>
      <c r="Z56" s="203"/>
      <c r="AA56" s="199"/>
      <c r="AB56" s="28"/>
      <c r="AC56" s="28"/>
    </row>
    <row r="57" spans="1:29" s="3" customFormat="1" ht="15.75" x14ac:dyDescent="0.25">
      <c r="A57" s="206"/>
      <c r="B57" s="206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92"/>
      <c r="P57" s="92"/>
      <c r="Q57" s="92"/>
      <c r="R57" s="92"/>
      <c r="S57" s="92"/>
      <c r="T57" s="92"/>
      <c r="U57" s="92"/>
      <c r="V57" s="92"/>
      <c r="W57" s="92"/>
      <c r="X57" s="203"/>
      <c r="Y57" s="201"/>
      <c r="Z57" s="203"/>
      <c r="AA57" s="199"/>
      <c r="AB57" s="28"/>
      <c r="AC57" s="28"/>
    </row>
    <row r="58" spans="1:29" s="3" customFormat="1" ht="15.75" x14ac:dyDescent="0.25">
      <c r="A58" s="206"/>
      <c r="B58" s="206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92"/>
      <c r="P58" s="92"/>
      <c r="Q58" s="92"/>
      <c r="R58" s="92"/>
      <c r="S58" s="92"/>
      <c r="T58" s="92"/>
      <c r="U58" s="92"/>
      <c r="V58" s="92"/>
      <c r="W58" s="92"/>
      <c r="X58" s="203"/>
      <c r="Y58" s="201"/>
      <c r="Z58" s="203"/>
      <c r="AA58" s="199"/>
      <c r="AB58" s="28"/>
      <c r="AC58" s="28"/>
    </row>
    <row r="59" spans="1:29" s="3" customFormat="1" ht="15.75" x14ac:dyDescent="0.25">
      <c r="A59" s="206"/>
      <c r="B59" s="206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92"/>
      <c r="P59" s="92"/>
      <c r="Q59" s="92"/>
      <c r="R59" s="92"/>
      <c r="S59" s="92"/>
      <c r="T59" s="92"/>
      <c r="U59" s="92"/>
      <c r="V59" s="92"/>
      <c r="W59" s="92"/>
      <c r="X59" s="203"/>
      <c r="Y59" s="201"/>
      <c r="Z59" s="203"/>
      <c r="AA59" s="199"/>
      <c r="AB59" s="28"/>
      <c r="AC59" s="28"/>
    </row>
    <row r="60" spans="1:29" s="3" customFormat="1" ht="15.75" x14ac:dyDescent="0.25">
      <c r="A60" s="206"/>
      <c r="B60" s="206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92"/>
      <c r="P60" s="92"/>
      <c r="Q60" s="92"/>
      <c r="R60" s="92"/>
      <c r="S60" s="92"/>
      <c r="T60" s="92"/>
      <c r="U60" s="92"/>
      <c r="V60" s="92"/>
      <c r="W60" s="92"/>
      <c r="X60" s="203"/>
      <c r="Y60" s="201"/>
      <c r="Z60" s="203"/>
      <c r="AA60" s="199"/>
      <c r="AB60" s="28"/>
      <c r="AC60" s="28"/>
    </row>
    <row r="61" spans="1:29" s="3" customFormat="1" ht="15.75" x14ac:dyDescent="0.25">
      <c r="A61" s="206"/>
      <c r="B61" s="206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92"/>
      <c r="P61" s="92"/>
      <c r="Q61" s="92"/>
      <c r="R61" s="92"/>
      <c r="S61" s="92"/>
      <c r="T61" s="92"/>
      <c r="U61" s="92"/>
      <c r="V61" s="92"/>
      <c r="W61" s="92"/>
      <c r="X61" s="203"/>
      <c r="Y61" s="201"/>
      <c r="Z61" s="203"/>
      <c r="AA61" s="199"/>
      <c r="AB61" s="28"/>
      <c r="AC61" s="28"/>
    </row>
    <row r="62" spans="1:29" s="3" customFormat="1" ht="15.75" x14ac:dyDescent="0.25">
      <c r="A62" s="206"/>
      <c r="B62" s="206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92"/>
      <c r="P62" s="92"/>
      <c r="Q62" s="92"/>
      <c r="R62" s="92"/>
      <c r="S62" s="92"/>
      <c r="T62" s="92"/>
      <c r="U62" s="92"/>
      <c r="V62" s="92"/>
      <c r="W62" s="92"/>
      <c r="X62" s="203"/>
      <c r="Y62" s="201"/>
      <c r="Z62" s="203"/>
      <c r="AA62" s="199"/>
      <c r="AB62" s="28"/>
      <c r="AC62" s="28"/>
    </row>
    <row r="63" spans="1:29" s="3" customFormat="1" ht="15.75" x14ac:dyDescent="0.25">
      <c r="A63" s="206"/>
      <c r="B63" s="206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92"/>
      <c r="P63" s="92"/>
      <c r="Q63" s="92"/>
      <c r="R63" s="92"/>
      <c r="S63" s="92"/>
      <c r="T63" s="92"/>
      <c r="U63" s="92"/>
      <c r="V63" s="92"/>
      <c r="W63" s="92"/>
      <c r="X63" s="203"/>
      <c r="Y63" s="201"/>
      <c r="Z63" s="203"/>
      <c r="AA63" s="199"/>
      <c r="AB63" s="28"/>
      <c r="AC63" s="28"/>
    </row>
    <row r="64" spans="1:29" s="3" customFormat="1" ht="15.75" x14ac:dyDescent="0.25">
      <c r="A64" s="206"/>
      <c r="B64" s="206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92"/>
      <c r="P64" s="92"/>
      <c r="Q64" s="92"/>
      <c r="R64" s="92"/>
      <c r="S64" s="92"/>
      <c r="T64" s="92"/>
      <c r="U64" s="92"/>
      <c r="V64" s="92"/>
      <c r="W64" s="92"/>
      <c r="X64" s="203"/>
      <c r="Y64" s="201"/>
      <c r="Z64" s="203"/>
      <c r="AA64" s="199"/>
      <c r="AB64" s="28"/>
      <c r="AC64" s="28"/>
    </row>
    <row r="65" spans="1:29" s="3" customFormat="1" ht="15.75" x14ac:dyDescent="0.25">
      <c r="A65" s="206"/>
      <c r="B65" s="206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92"/>
      <c r="P65" s="92"/>
      <c r="Q65" s="92"/>
      <c r="R65" s="92"/>
      <c r="S65" s="92"/>
      <c r="T65" s="92"/>
      <c r="U65" s="92"/>
      <c r="V65" s="92"/>
      <c r="W65" s="92"/>
      <c r="X65" s="203"/>
      <c r="Y65" s="201"/>
      <c r="Z65" s="203"/>
      <c r="AA65" s="199"/>
      <c r="AB65" s="28"/>
      <c r="AC65" s="28"/>
    </row>
    <row r="66" spans="1:29" s="3" customFormat="1" ht="15.75" x14ac:dyDescent="0.25">
      <c r="A66" s="206"/>
      <c r="B66" s="206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92"/>
      <c r="P66" s="92"/>
      <c r="Q66" s="92"/>
      <c r="R66" s="92"/>
      <c r="S66" s="92"/>
      <c r="T66" s="92"/>
      <c r="U66" s="92"/>
      <c r="V66" s="92"/>
      <c r="W66" s="92"/>
      <c r="X66" s="203"/>
      <c r="Y66" s="201"/>
      <c r="Z66" s="203"/>
      <c r="AA66" s="199"/>
      <c r="AB66" s="28"/>
      <c r="AC66" s="28"/>
    </row>
    <row r="67" spans="1:29" s="3" customFormat="1" ht="15.75" x14ac:dyDescent="0.25">
      <c r="A67" s="206"/>
      <c r="B67" s="206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92"/>
      <c r="P67" s="92"/>
      <c r="Q67" s="92"/>
      <c r="R67" s="92"/>
      <c r="S67" s="92"/>
      <c r="T67" s="92"/>
      <c r="U67" s="92"/>
      <c r="V67" s="92"/>
      <c r="W67" s="92"/>
      <c r="X67" s="203"/>
      <c r="Y67" s="201"/>
      <c r="Z67" s="203"/>
      <c r="AA67" s="199"/>
      <c r="AB67" s="28"/>
      <c r="AC67" s="28"/>
    </row>
    <row r="68" spans="1:29" s="3" customFormat="1" ht="15.75" x14ac:dyDescent="0.25">
      <c r="A68" s="206"/>
      <c r="B68" s="206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92"/>
      <c r="P68" s="92"/>
      <c r="Q68" s="92"/>
      <c r="R68" s="92"/>
      <c r="S68" s="92"/>
      <c r="T68" s="92"/>
      <c r="U68" s="92"/>
      <c r="V68" s="92"/>
      <c r="W68" s="92"/>
      <c r="X68" s="203"/>
      <c r="Y68" s="201"/>
      <c r="Z68" s="203"/>
      <c r="AA68" s="199"/>
      <c r="AB68" s="28"/>
      <c r="AC68" s="28"/>
    </row>
    <row r="69" spans="1:29" s="3" customFormat="1" ht="15.75" x14ac:dyDescent="0.25">
      <c r="A69" s="206"/>
      <c r="B69" s="206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92"/>
      <c r="P69" s="92"/>
      <c r="Q69" s="92"/>
      <c r="R69" s="92"/>
      <c r="S69" s="92"/>
      <c r="T69" s="92"/>
      <c r="U69" s="92"/>
      <c r="V69" s="92"/>
      <c r="W69" s="92"/>
      <c r="X69" s="203"/>
      <c r="Y69" s="201"/>
      <c r="Z69" s="203"/>
      <c r="AA69" s="199"/>
      <c r="AB69" s="28"/>
      <c r="AC69" s="28"/>
    </row>
    <row r="70" spans="1:29" s="3" customFormat="1" ht="15.75" x14ac:dyDescent="0.25">
      <c r="A70" s="206"/>
      <c r="B70" s="206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92"/>
      <c r="P70" s="92"/>
      <c r="Q70" s="92"/>
      <c r="R70" s="92"/>
      <c r="S70" s="92"/>
      <c r="T70" s="92"/>
      <c r="U70" s="92"/>
      <c r="V70" s="92"/>
      <c r="W70" s="92"/>
      <c r="X70" s="203"/>
      <c r="Y70" s="201"/>
      <c r="Z70" s="203"/>
      <c r="AA70" s="199"/>
      <c r="AB70" s="28"/>
      <c r="AC70" s="28"/>
    </row>
    <row r="71" spans="1:29" s="3" customFormat="1" ht="15.75" x14ac:dyDescent="0.25">
      <c r="A71" s="206"/>
      <c r="B71" s="206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92"/>
      <c r="P71" s="92"/>
      <c r="Q71" s="92"/>
      <c r="R71" s="92"/>
      <c r="S71" s="92"/>
      <c r="T71" s="92"/>
      <c r="U71" s="92"/>
      <c r="V71" s="92"/>
      <c r="W71" s="92"/>
      <c r="X71" s="203"/>
      <c r="Y71" s="201"/>
      <c r="Z71" s="203"/>
      <c r="AA71" s="199"/>
      <c r="AB71" s="28"/>
      <c r="AC71" s="28"/>
    </row>
    <row r="72" spans="1:29" s="3" customFormat="1" ht="15.75" x14ac:dyDescent="0.25">
      <c r="A72" s="206"/>
      <c r="B72" s="206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92"/>
      <c r="P72" s="92"/>
      <c r="Q72" s="92"/>
      <c r="R72" s="92"/>
      <c r="S72" s="92"/>
      <c r="T72" s="92"/>
      <c r="U72" s="92"/>
      <c r="V72" s="92"/>
      <c r="W72" s="92"/>
      <c r="X72" s="203"/>
      <c r="Y72" s="201"/>
      <c r="Z72" s="203"/>
      <c r="AA72" s="199"/>
      <c r="AB72" s="28"/>
      <c r="AC72" s="28"/>
    </row>
    <row r="73" spans="1:29" s="3" customFormat="1" ht="15.75" x14ac:dyDescent="0.25">
      <c r="A73" s="206"/>
      <c r="B73" s="206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92"/>
      <c r="P73" s="92"/>
      <c r="Q73" s="92"/>
      <c r="R73" s="92"/>
      <c r="S73" s="92"/>
      <c r="T73" s="92"/>
      <c r="U73" s="92"/>
      <c r="V73" s="92"/>
      <c r="W73" s="92"/>
      <c r="X73" s="203"/>
      <c r="Y73" s="201"/>
      <c r="Z73" s="203"/>
      <c r="AA73" s="199"/>
      <c r="AB73" s="28"/>
      <c r="AC73" s="28"/>
    </row>
    <row r="74" spans="1:29" s="3" customFormat="1" ht="15.75" x14ac:dyDescent="0.25">
      <c r="A74" s="206"/>
      <c r="B74" s="206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92"/>
      <c r="P74" s="92"/>
      <c r="Q74" s="92"/>
      <c r="R74" s="92"/>
      <c r="S74" s="92"/>
      <c r="T74" s="92"/>
      <c r="U74" s="92"/>
      <c r="V74" s="92"/>
      <c r="W74" s="92"/>
      <c r="X74" s="203"/>
      <c r="Y74" s="201"/>
      <c r="Z74" s="203"/>
      <c r="AA74" s="199"/>
      <c r="AB74" s="28"/>
      <c r="AC74" s="28"/>
    </row>
    <row r="75" spans="1:29" s="3" customFormat="1" ht="15.75" x14ac:dyDescent="0.25">
      <c r="A75" s="206"/>
      <c r="B75" s="206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203"/>
      <c r="Y75" s="201"/>
      <c r="Z75" s="203"/>
      <c r="AA75" s="199"/>
      <c r="AB75" s="28"/>
      <c r="AC75" s="28"/>
    </row>
    <row r="76" spans="1:29" s="3" customFormat="1" ht="15.75" x14ac:dyDescent="0.25">
      <c r="A76" s="206"/>
      <c r="B76" s="206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203"/>
      <c r="Y76" s="201"/>
      <c r="Z76" s="203"/>
      <c r="AA76" s="199"/>
      <c r="AB76" s="28"/>
      <c r="AC76" s="28"/>
    </row>
    <row r="77" spans="1:29" s="3" customFormat="1" ht="15.75" x14ac:dyDescent="0.25">
      <c r="A77" s="206"/>
      <c r="B77" s="206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203"/>
      <c r="Y77" s="201"/>
      <c r="Z77" s="203"/>
      <c r="AA77" s="199"/>
      <c r="AB77" s="28"/>
      <c r="AC77" s="28"/>
    </row>
    <row r="78" spans="1:29" s="3" customFormat="1" ht="15.75" x14ac:dyDescent="0.25">
      <c r="A78" s="206"/>
      <c r="B78" s="206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203"/>
      <c r="Y78" s="201"/>
      <c r="Z78" s="203"/>
      <c r="AA78" s="199"/>
      <c r="AB78" s="28"/>
      <c r="AC78" s="28"/>
    </row>
    <row r="79" spans="1:29" s="3" customFormat="1" ht="15.75" x14ac:dyDescent="0.25">
      <c r="A79" s="206"/>
      <c r="B79" s="206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203"/>
      <c r="Y79" s="201"/>
      <c r="Z79" s="203"/>
      <c r="AA79" s="199"/>
      <c r="AB79" s="28"/>
      <c r="AC79" s="28"/>
    </row>
    <row r="80" spans="1:29" s="3" customFormat="1" ht="15.75" x14ac:dyDescent="0.25">
      <c r="A80" s="206"/>
      <c r="B80" s="206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203"/>
      <c r="Y80" s="201"/>
      <c r="Z80" s="203"/>
      <c r="AA80" s="199"/>
      <c r="AB80" s="28"/>
      <c r="AC80" s="28"/>
    </row>
    <row r="81" spans="1:29" s="3" customFormat="1" ht="15.75" x14ac:dyDescent="0.25">
      <c r="A81" s="206"/>
      <c r="B81" s="206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203"/>
      <c r="Y81" s="201"/>
      <c r="Z81" s="203"/>
      <c r="AA81" s="199"/>
      <c r="AB81" s="28"/>
      <c r="AC81" s="28"/>
    </row>
    <row r="82" spans="1:29" s="3" customFormat="1" ht="15.75" x14ac:dyDescent="0.25">
      <c r="A82" s="206"/>
      <c r="B82" s="206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203"/>
      <c r="Y82" s="201"/>
      <c r="Z82" s="203"/>
      <c r="AA82" s="199"/>
      <c r="AB82" s="28"/>
      <c r="AC82" s="28"/>
    </row>
    <row r="83" spans="1:29" s="3" customFormat="1" ht="15.75" x14ac:dyDescent="0.25">
      <c r="A83" s="206"/>
      <c r="B83" s="206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203"/>
      <c r="Y83" s="201"/>
      <c r="Z83" s="203"/>
      <c r="AA83" s="199"/>
      <c r="AB83" s="28"/>
      <c r="AC83" s="28"/>
    </row>
    <row r="84" spans="1:29" s="3" customFormat="1" ht="15.75" x14ac:dyDescent="0.25">
      <c r="A84" s="206"/>
      <c r="B84" s="206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203"/>
      <c r="Y84" s="201"/>
      <c r="Z84" s="203"/>
      <c r="AA84" s="199"/>
      <c r="AB84" s="28"/>
      <c r="AC84" s="28"/>
    </row>
    <row r="85" spans="1:29" s="3" customFormat="1" ht="15.75" x14ac:dyDescent="0.25">
      <c r="A85" s="206"/>
      <c r="B85" s="206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203"/>
      <c r="Y85" s="201"/>
      <c r="Z85" s="203"/>
      <c r="AA85" s="199"/>
      <c r="AB85" s="28"/>
      <c r="AC85" s="28"/>
    </row>
    <row r="86" spans="1:29" s="3" customFormat="1" ht="15.75" x14ac:dyDescent="0.25">
      <c r="A86" s="206"/>
      <c r="B86" s="206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203"/>
      <c r="Y86" s="201"/>
      <c r="Z86" s="203"/>
      <c r="AA86" s="199"/>
      <c r="AB86" s="28"/>
      <c r="AC86" s="28"/>
    </row>
    <row r="87" spans="1:29" s="3" customFormat="1" ht="15.75" x14ac:dyDescent="0.25">
      <c r="A87" s="206"/>
      <c r="B87" s="206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203"/>
      <c r="Y87" s="201"/>
      <c r="Z87" s="203"/>
      <c r="AA87" s="199"/>
      <c r="AB87" s="28"/>
      <c r="AC87" s="28"/>
    </row>
    <row r="88" spans="1:29" s="3" customFormat="1" ht="15.75" x14ac:dyDescent="0.25">
      <c r="A88" s="206"/>
      <c r="B88" s="206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203"/>
      <c r="Y88" s="201"/>
      <c r="Z88" s="203"/>
      <c r="AA88" s="199"/>
      <c r="AB88" s="28"/>
      <c r="AC88" s="28"/>
    </row>
    <row r="89" spans="1:29" s="3" customFormat="1" ht="15.75" x14ac:dyDescent="0.25">
      <c r="A89" s="206"/>
      <c r="B89" s="206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203"/>
      <c r="Y89" s="201"/>
      <c r="Z89" s="203"/>
      <c r="AA89" s="199"/>
      <c r="AB89" s="28"/>
      <c r="AC89" s="28"/>
    </row>
    <row r="90" spans="1:29" s="3" customFormat="1" ht="15.75" x14ac:dyDescent="0.25">
      <c r="A90" s="206"/>
      <c r="B90" s="206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203"/>
      <c r="Y90" s="201"/>
      <c r="Z90" s="203"/>
      <c r="AA90" s="199"/>
      <c r="AB90" s="28"/>
      <c r="AC90" s="28"/>
    </row>
    <row r="91" spans="1:29" s="3" customFormat="1" ht="15.75" x14ac:dyDescent="0.25">
      <c r="A91" s="206"/>
      <c r="B91" s="206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203"/>
      <c r="Y91" s="201"/>
      <c r="Z91" s="203"/>
      <c r="AA91" s="199"/>
      <c r="AB91" s="28"/>
      <c r="AC91" s="28"/>
    </row>
    <row r="92" spans="1:29" s="3" customFormat="1" ht="15.75" x14ac:dyDescent="0.25">
      <c r="A92" s="206"/>
      <c r="B92" s="206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203"/>
      <c r="Y92" s="201"/>
      <c r="Z92" s="203"/>
      <c r="AA92" s="199"/>
      <c r="AB92" s="28"/>
      <c r="AC92" s="28"/>
    </row>
    <row r="93" spans="1:29" s="3" customFormat="1" ht="15.75" x14ac:dyDescent="0.25">
      <c r="A93" s="206"/>
      <c r="B93" s="206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203"/>
      <c r="Y93" s="201"/>
      <c r="Z93" s="203"/>
      <c r="AA93" s="199"/>
      <c r="AB93" s="28"/>
      <c r="AC93" s="28"/>
    </row>
    <row r="94" spans="1:29" s="3" customFormat="1" ht="15.75" x14ac:dyDescent="0.25">
      <c r="A94" s="206"/>
      <c r="B94" s="206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203"/>
      <c r="Y94" s="201"/>
      <c r="Z94" s="203"/>
      <c r="AA94" s="199"/>
      <c r="AB94" s="28"/>
      <c r="AC94" s="28"/>
    </row>
    <row r="95" spans="1:29" s="3" customFormat="1" ht="15.75" x14ac:dyDescent="0.25">
      <c r="A95" s="206"/>
      <c r="B95" s="206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203"/>
      <c r="Y95" s="201"/>
      <c r="Z95" s="203"/>
      <c r="AA95" s="199"/>
      <c r="AB95" s="28"/>
      <c r="AC95" s="28"/>
    </row>
    <row r="96" spans="1:29" s="3" customFormat="1" ht="15.75" x14ac:dyDescent="0.25">
      <c r="A96" s="206"/>
      <c r="B96" s="206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203"/>
      <c r="Y96" s="201"/>
      <c r="Z96" s="203"/>
      <c r="AA96" s="199"/>
      <c r="AB96" s="28"/>
      <c r="AC96" s="28"/>
    </row>
    <row r="97" spans="1:29" s="3" customFormat="1" ht="15.75" x14ac:dyDescent="0.25">
      <c r="A97" s="206"/>
      <c r="B97" s="206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203"/>
      <c r="Y97" s="201"/>
      <c r="Z97" s="203"/>
      <c r="AA97" s="199"/>
      <c r="AB97" s="28"/>
      <c r="AC97" s="28"/>
    </row>
    <row r="98" spans="1:29" s="3" customFormat="1" ht="15.75" x14ac:dyDescent="0.25">
      <c r="A98" s="206"/>
      <c r="B98" s="206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203"/>
      <c r="Y98" s="201"/>
      <c r="Z98" s="203"/>
      <c r="AA98" s="199"/>
      <c r="AB98" s="28"/>
      <c r="AC98" s="28"/>
    </row>
    <row r="99" spans="1:29" s="3" customFormat="1" ht="15.75" x14ac:dyDescent="0.25">
      <c r="A99" s="206"/>
      <c r="B99" s="206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203"/>
      <c r="Y99" s="201"/>
      <c r="Z99" s="203"/>
      <c r="AA99" s="199"/>
      <c r="AB99" s="28"/>
      <c r="AC99" s="28"/>
    </row>
    <row r="100" spans="1:29" s="3" customFormat="1" ht="15.75" x14ac:dyDescent="0.25">
      <c r="A100" s="206"/>
      <c r="B100" s="206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203"/>
      <c r="Y100" s="201"/>
      <c r="Z100" s="203"/>
      <c r="AA100" s="199"/>
      <c r="AB100" s="28"/>
      <c r="AC100" s="28"/>
    </row>
    <row r="101" spans="1:29" s="3" customFormat="1" ht="15.75" x14ac:dyDescent="0.25">
      <c r="A101" s="206"/>
      <c r="B101" s="206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203"/>
      <c r="Y101" s="201"/>
      <c r="Z101" s="203"/>
      <c r="AA101" s="199"/>
      <c r="AB101" s="28"/>
      <c r="AC101" s="28"/>
    </row>
    <row r="102" spans="1:29" s="3" customFormat="1" ht="15.75" x14ac:dyDescent="0.25">
      <c r="A102" s="206"/>
      <c r="B102" s="206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203"/>
      <c r="Y102" s="201"/>
      <c r="Z102" s="203"/>
      <c r="AA102" s="199"/>
      <c r="AB102" s="28"/>
      <c r="AC102" s="28"/>
    </row>
    <row r="103" spans="1:29" s="3" customFormat="1" ht="15.75" x14ac:dyDescent="0.25">
      <c r="A103" s="206"/>
      <c r="B103" s="206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203"/>
      <c r="Y103" s="201"/>
      <c r="Z103" s="203"/>
      <c r="AA103" s="199"/>
      <c r="AB103" s="28"/>
      <c r="AC103" s="28"/>
    </row>
    <row r="104" spans="1:29" s="3" customFormat="1" ht="15.75" x14ac:dyDescent="0.25">
      <c r="A104" s="206"/>
      <c r="B104" s="206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203"/>
      <c r="Y104" s="201"/>
      <c r="Z104" s="203"/>
      <c r="AA104" s="199"/>
      <c r="AB104" s="28"/>
      <c r="AC104" s="28"/>
    </row>
    <row r="105" spans="1:29" s="3" customFormat="1" ht="15.75" x14ac:dyDescent="0.25">
      <c r="A105" s="206"/>
      <c r="B105" s="206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203"/>
      <c r="Y105" s="201"/>
      <c r="Z105" s="203"/>
      <c r="AA105" s="199"/>
      <c r="AB105" s="28"/>
      <c r="AC105" s="28"/>
    </row>
    <row r="106" spans="1:29" s="3" customFormat="1" ht="15.75" x14ac:dyDescent="0.25">
      <c r="A106" s="206"/>
      <c r="B106" s="206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203"/>
      <c r="Y106" s="201"/>
      <c r="Z106" s="203"/>
      <c r="AA106" s="199"/>
      <c r="AB106" s="28"/>
      <c r="AC106" s="28"/>
    </row>
    <row r="107" spans="1:29" s="3" customFormat="1" ht="15.75" x14ac:dyDescent="0.25">
      <c r="A107" s="206"/>
      <c r="B107" s="206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203"/>
      <c r="Y107" s="201"/>
      <c r="Z107" s="203"/>
      <c r="AA107" s="199"/>
      <c r="AB107" s="28"/>
      <c r="AC107" s="28"/>
    </row>
    <row r="108" spans="1:29" s="3" customFormat="1" ht="15.75" x14ac:dyDescent="0.25">
      <c r="A108" s="206"/>
      <c r="B108" s="206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203"/>
      <c r="Y108" s="201"/>
      <c r="Z108" s="203"/>
      <c r="AA108" s="199"/>
      <c r="AB108" s="28"/>
      <c r="AC108" s="28"/>
    </row>
    <row r="109" spans="1:29" s="3" customFormat="1" ht="15.75" x14ac:dyDescent="0.25">
      <c r="A109" s="206"/>
      <c r="B109" s="206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203"/>
      <c r="Y109" s="201"/>
      <c r="Z109" s="203"/>
      <c r="AA109" s="199"/>
      <c r="AB109" s="28"/>
      <c r="AC109" s="28"/>
    </row>
    <row r="110" spans="1:29" s="3" customFormat="1" ht="15.75" x14ac:dyDescent="0.25">
      <c r="A110" s="206"/>
      <c r="B110" s="206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203"/>
      <c r="Y110" s="201"/>
      <c r="Z110" s="203"/>
      <c r="AA110" s="199"/>
      <c r="AB110" s="28"/>
      <c r="AC110" s="28"/>
    </row>
    <row r="111" spans="1:29" s="3" customFormat="1" ht="15.75" x14ac:dyDescent="0.25">
      <c r="A111" s="206"/>
      <c r="B111" s="206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203"/>
      <c r="Y111" s="201"/>
      <c r="Z111" s="203"/>
      <c r="AA111" s="199"/>
      <c r="AB111" s="28"/>
      <c r="AC111" s="28"/>
    </row>
    <row r="112" spans="1:29" s="3" customFormat="1" ht="15.75" x14ac:dyDescent="0.25">
      <c r="A112" s="206"/>
      <c r="B112" s="206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203"/>
      <c r="Y112" s="201"/>
      <c r="Z112" s="203"/>
      <c r="AA112" s="199"/>
      <c r="AB112" s="28"/>
      <c r="AC112" s="28"/>
    </row>
    <row r="113" spans="1:29" s="3" customFormat="1" ht="15.75" x14ac:dyDescent="0.25">
      <c r="A113" s="206"/>
      <c r="B113" s="206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203"/>
      <c r="Y113" s="201"/>
      <c r="Z113" s="203"/>
      <c r="AA113" s="199"/>
      <c r="AB113" s="28"/>
      <c r="AC113" s="28"/>
    </row>
    <row r="114" spans="1:29" s="3" customFormat="1" ht="15.75" x14ac:dyDescent="0.25">
      <c r="A114" s="206"/>
      <c r="B114" s="206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203"/>
      <c r="Y114" s="201"/>
      <c r="Z114" s="203"/>
      <c r="AA114" s="199"/>
      <c r="AB114" s="28"/>
      <c r="AC114" s="28"/>
    </row>
    <row r="115" spans="1:29" s="3" customFormat="1" ht="15.75" x14ac:dyDescent="0.25">
      <c r="A115" s="206"/>
      <c r="B115" s="206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203"/>
      <c r="Y115" s="201"/>
      <c r="Z115" s="203"/>
      <c r="AA115" s="199"/>
      <c r="AB115" s="28"/>
      <c r="AC115" s="28"/>
    </row>
    <row r="116" spans="1:29" s="3" customFormat="1" ht="15.75" x14ac:dyDescent="0.25">
      <c r="A116" s="206"/>
      <c r="B116" s="206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203"/>
      <c r="Y116" s="201"/>
      <c r="Z116" s="203"/>
      <c r="AA116" s="199"/>
      <c r="AB116" s="28"/>
      <c r="AC116" s="28"/>
    </row>
    <row r="117" spans="1:29" s="3" customFormat="1" ht="15.75" x14ac:dyDescent="0.25">
      <c r="A117" s="206"/>
      <c r="B117" s="206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203"/>
      <c r="Y117" s="201"/>
      <c r="Z117" s="203"/>
      <c r="AA117" s="199"/>
      <c r="AB117" s="28"/>
      <c r="AC117" s="28"/>
    </row>
    <row r="118" spans="1:29" s="3" customFormat="1" ht="15.75" x14ac:dyDescent="0.25">
      <c r="A118" s="206"/>
      <c r="B118" s="206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203"/>
      <c r="Y118" s="201"/>
      <c r="Z118" s="203"/>
      <c r="AA118" s="199"/>
      <c r="AB118" s="28"/>
      <c r="AC118" s="28"/>
    </row>
    <row r="119" spans="1:29" s="3" customFormat="1" ht="15.75" x14ac:dyDescent="0.25">
      <c r="A119" s="206"/>
      <c r="B119" s="206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203"/>
      <c r="Y119" s="201"/>
      <c r="Z119" s="203"/>
      <c r="AA119" s="199"/>
      <c r="AB119" s="28"/>
      <c r="AC119" s="28"/>
    </row>
    <row r="120" spans="1:29" s="3" customFormat="1" ht="15.75" x14ac:dyDescent="0.25">
      <c r="A120" s="206"/>
      <c r="B120" s="206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203"/>
      <c r="Y120" s="201"/>
      <c r="Z120" s="203"/>
      <c r="AA120" s="199"/>
      <c r="AB120" s="28"/>
      <c r="AC120" s="28"/>
    </row>
    <row r="121" spans="1:29" s="3" customFormat="1" ht="15.75" x14ac:dyDescent="0.25">
      <c r="A121" s="206"/>
      <c r="B121" s="206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203"/>
      <c r="Y121" s="201"/>
      <c r="Z121" s="203"/>
      <c r="AA121" s="199"/>
      <c r="AB121" s="28"/>
      <c r="AC121" s="28"/>
    </row>
    <row r="122" spans="1:29" s="3" customFormat="1" ht="15.75" x14ac:dyDescent="0.25">
      <c r="A122" s="206"/>
      <c r="B122" s="206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203"/>
      <c r="Y122" s="201"/>
      <c r="Z122" s="203"/>
      <c r="AA122" s="199"/>
      <c r="AB122" s="28"/>
      <c r="AC122" s="28"/>
    </row>
    <row r="123" spans="1:29" s="3" customFormat="1" ht="15.75" x14ac:dyDescent="0.25">
      <c r="A123" s="206"/>
      <c r="B123" s="206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203"/>
      <c r="Y123" s="201"/>
      <c r="Z123" s="203"/>
      <c r="AA123" s="199"/>
      <c r="AB123" s="28"/>
      <c r="AC123" s="28"/>
    </row>
    <row r="124" spans="1:29" s="3" customFormat="1" ht="15.75" x14ac:dyDescent="0.25">
      <c r="A124" s="206"/>
      <c r="B124" s="206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203"/>
      <c r="Y124" s="201"/>
      <c r="Z124" s="203"/>
      <c r="AA124" s="199"/>
      <c r="AB124" s="28"/>
      <c r="AC124" s="28"/>
    </row>
    <row r="125" spans="1:29" s="3" customFormat="1" ht="15.75" x14ac:dyDescent="0.25">
      <c r="A125" s="206"/>
      <c r="B125" s="206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203"/>
      <c r="Y125" s="201"/>
      <c r="Z125" s="203"/>
      <c r="AA125" s="199"/>
      <c r="AB125" s="28"/>
      <c r="AC125" s="28"/>
    </row>
    <row r="126" spans="1:29" s="3" customFormat="1" ht="15.75" x14ac:dyDescent="0.25">
      <c r="A126" s="206"/>
      <c r="B126" s="206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203"/>
      <c r="Y126" s="201"/>
      <c r="Z126" s="203"/>
      <c r="AA126" s="199"/>
      <c r="AB126" s="28"/>
      <c r="AC126" s="28"/>
    </row>
    <row r="127" spans="1:29" s="3" customFormat="1" ht="15.75" x14ac:dyDescent="0.25">
      <c r="A127" s="206"/>
      <c r="B127" s="206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203"/>
      <c r="Y127" s="201"/>
      <c r="Z127" s="203"/>
      <c r="AA127" s="199"/>
      <c r="AB127" s="28"/>
      <c r="AC127" s="28"/>
    </row>
    <row r="128" spans="1:29" s="3" customFormat="1" ht="15.75" x14ac:dyDescent="0.25">
      <c r="A128" s="206"/>
      <c r="B128" s="206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203"/>
      <c r="Y128" s="201"/>
      <c r="Z128" s="203"/>
      <c r="AA128" s="199"/>
      <c r="AB128" s="28"/>
      <c r="AC128" s="28"/>
    </row>
    <row r="129" spans="1:29" s="3" customFormat="1" ht="15.75" x14ac:dyDescent="0.25">
      <c r="A129" s="206"/>
      <c r="B129" s="206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203"/>
      <c r="Y129" s="201"/>
      <c r="Z129" s="203"/>
      <c r="AA129" s="199"/>
      <c r="AB129" s="28"/>
      <c r="AC129" s="28"/>
    </row>
    <row r="130" spans="1:29" s="3" customFormat="1" ht="15.75" x14ac:dyDescent="0.25">
      <c r="A130" s="206"/>
      <c r="B130" s="206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203"/>
      <c r="Y130" s="201"/>
      <c r="Z130" s="203"/>
      <c r="AA130" s="199"/>
      <c r="AB130" s="28"/>
      <c r="AC130" s="28"/>
    </row>
    <row r="131" spans="1:29" s="3" customFormat="1" ht="15.75" x14ac:dyDescent="0.25">
      <c r="A131" s="206"/>
      <c r="B131" s="206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203"/>
      <c r="Y131" s="201"/>
      <c r="Z131" s="203"/>
      <c r="AA131" s="199"/>
      <c r="AB131" s="28"/>
      <c r="AC131" s="28"/>
    </row>
    <row r="132" spans="1:29" s="3" customFormat="1" ht="15.75" x14ac:dyDescent="0.25">
      <c r="A132" s="206"/>
      <c r="B132" s="206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203"/>
      <c r="Y132" s="201"/>
      <c r="Z132" s="203"/>
      <c r="AA132" s="199"/>
      <c r="AB132" s="28"/>
      <c r="AC132" s="28"/>
    </row>
    <row r="133" spans="1:29" s="3" customFormat="1" ht="15.75" x14ac:dyDescent="0.25">
      <c r="A133" s="206"/>
      <c r="B133" s="206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203"/>
      <c r="Y133" s="201"/>
      <c r="Z133" s="203"/>
      <c r="AA133" s="199"/>
      <c r="AB133" s="28"/>
      <c r="AC133" s="28"/>
    </row>
    <row r="134" spans="1:29" s="3" customFormat="1" ht="15.75" x14ac:dyDescent="0.25">
      <c r="A134" s="206"/>
      <c r="B134" s="206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203"/>
      <c r="Y134" s="201"/>
      <c r="Z134" s="203"/>
      <c r="AA134" s="199"/>
      <c r="AB134" s="28"/>
      <c r="AC134" s="28"/>
    </row>
    <row r="135" spans="1:29" s="3" customFormat="1" ht="15.75" x14ac:dyDescent="0.25">
      <c r="A135" s="206"/>
      <c r="B135" s="206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203"/>
      <c r="Y135" s="201"/>
      <c r="Z135" s="203"/>
      <c r="AA135" s="199"/>
      <c r="AB135" s="28"/>
      <c r="AC135" s="28"/>
    </row>
    <row r="136" spans="1:29" s="3" customFormat="1" ht="15.75" x14ac:dyDescent="0.25">
      <c r="A136" s="206"/>
      <c r="B136" s="206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203"/>
      <c r="Y136" s="201"/>
      <c r="Z136" s="203"/>
      <c r="AA136" s="199"/>
      <c r="AB136" s="28"/>
      <c r="AC136" s="28"/>
    </row>
    <row r="137" spans="1:29" s="3" customFormat="1" ht="15.75" x14ac:dyDescent="0.25">
      <c r="A137" s="206"/>
      <c r="B137" s="206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203"/>
      <c r="Y137" s="201"/>
      <c r="Z137" s="203"/>
      <c r="AA137" s="199"/>
      <c r="AB137" s="28"/>
      <c r="AC137" s="28"/>
    </row>
    <row r="138" spans="1:29" s="3" customFormat="1" ht="15.75" x14ac:dyDescent="0.25">
      <c r="A138" s="206"/>
      <c r="B138" s="206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203"/>
      <c r="Y138" s="201"/>
      <c r="Z138" s="203"/>
      <c r="AA138" s="199"/>
      <c r="AB138" s="28"/>
      <c r="AC138" s="28"/>
    </row>
    <row r="139" spans="1:29" s="3" customFormat="1" ht="15.75" x14ac:dyDescent="0.25">
      <c r="A139" s="206"/>
      <c r="B139" s="206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203"/>
      <c r="Y139" s="201"/>
      <c r="Z139" s="203"/>
      <c r="AA139" s="199"/>
      <c r="AB139" s="28"/>
      <c r="AC139" s="28"/>
    </row>
    <row r="140" spans="1:29" s="3" customFormat="1" ht="15.75" x14ac:dyDescent="0.25">
      <c r="A140" s="206"/>
      <c r="B140" s="206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203"/>
      <c r="Y140" s="201"/>
      <c r="Z140" s="203"/>
      <c r="AA140" s="199"/>
      <c r="AB140" s="28"/>
      <c r="AC140" s="28"/>
    </row>
    <row r="141" spans="1:29" s="3" customFormat="1" ht="15.75" x14ac:dyDescent="0.25">
      <c r="A141" s="206"/>
      <c r="B141" s="206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203"/>
      <c r="Y141" s="201"/>
      <c r="Z141" s="203"/>
      <c r="AA141" s="199"/>
      <c r="AB141" s="28"/>
      <c r="AC141" s="28"/>
    </row>
    <row r="142" spans="1:29" s="3" customFormat="1" ht="15.75" x14ac:dyDescent="0.25">
      <c r="A142" s="206"/>
      <c r="B142" s="206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203"/>
      <c r="Y142" s="201"/>
      <c r="Z142" s="203"/>
      <c r="AA142" s="199"/>
      <c r="AB142" s="28"/>
      <c r="AC142" s="28"/>
    </row>
    <row r="143" spans="1:29" s="3" customFormat="1" ht="15.75" x14ac:dyDescent="0.25">
      <c r="A143" s="206"/>
      <c r="B143" s="206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203"/>
      <c r="Y143" s="201"/>
      <c r="Z143" s="203"/>
      <c r="AA143" s="199"/>
      <c r="AB143" s="28"/>
      <c r="AC143" s="28"/>
    </row>
    <row r="144" spans="1:29" s="3" customFormat="1" ht="15.75" x14ac:dyDescent="0.25">
      <c r="A144" s="206"/>
      <c r="B144" s="206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203"/>
      <c r="Y144" s="201"/>
      <c r="Z144" s="203"/>
      <c r="AA144" s="199"/>
      <c r="AB144" s="28"/>
      <c r="AC144" s="28"/>
    </row>
    <row r="145" spans="1:29" s="3" customFormat="1" ht="15.75" x14ac:dyDescent="0.25">
      <c r="A145" s="206"/>
      <c r="B145" s="206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203"/>
      <c r="Y145" s="201"/>
      <c r="Z145" s="203"/>
      <c r="AA145" s="199"/>
      <c r="AB145" s="28"/>
      <c r="AC145" s="28"/>
    </row>
    <row r="146" spans="1:29" s="3" customFormat="1" ht="15.75" x14ac:dyDescent="0.25">
      <c r="A146" s="206"/>
      <c r="B146" s="206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203"/>
      <c r="Y146" s="201"/>
      <c r="Z146" s="203"/>
      <c r="AA146" s="199"/>
      <c r="AB146" s="28"/>
      <c r="AC146" s="28"/>
    </row>
    <row r="147" spans="1:29" s="3" customFormat="1" ht="15.75" x14ac:dyDescent="0.25">
      <c r="A147" s="206"/>
      <c r="B147" s="206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203"/>
      <c r="Y147" s="201"/>
      <c r="Z147" s="203"/>
      <c r="AA147" s="199"/>
      <c r="AB147" s="28"/>
      <c r="AC147" s="28"/>
    </row>
    <row r="148" spans="1:29" s="3" customFormat="1" ht="15.75" x14ac:dyDescent="0.25">
      <c r="A148" s="206"/>
      <c r="B148" s="206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203"/>
      <c r="Y148" s="201"/>
      <c r="Z148" s="203"/>
      <c r="AA148" s="199"/>
      <c r="AB148" s="28"/>
      <c r="AC148" s="28"/>
    </row>
    <row r="149" spans="1:29" s="3" customFormat="1" ht="15.75" x14ac:dyDescent="0.25">
      <c r="A149" s="206"/>
      <c r="B149" s="206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203"/>
      <c r="Y149" s="201"/>
      <c r="Z149" s="203"/>
      <c r="AA149" s="199"/>
      <c r="AB149" s="28"/>
      <c r="AC149" s="28"/>
    </row>
    <row r="150" spans="1:29" s="3" customFormat="1" x14ac:dyDescent="0.2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 x14ac:dyDescent="0.2">
      <c r="W151" s="7"/>
      <c r="X151" s="8"/>
      <c r="Y151" s="37"/>
      <c r="Z151" s="8"/>
    </row>
    <row r="152" spans="1:29" x14ac:dyDescent="0.2">
      <c r="W152" s="7"/>
      <c r="X152" s="8"/>
      <c r="Y152" s="37"/>
      <c r="Z152" s="8"/>
    </row>
    <row r="153" spans="1:29" x14ac:dyDescent="0.2">
      <c r="W153" s="7"/>
      <c r="X153" s="8"/>
      <c r="Y153" s="37"/>
      <c r="Z153" s="8"/>
    </row>
    <row r="154" spans="1:29" x14ac:dyDescent="0.2">
      <c r="W154" s="7"/>
      <c r="X154" s="8"/>
      <c r="Y154" s="37"/>
      <c r="Z154" s="8"/>
    </row>
    <row r="155" spans="1:29" x14ac:dyDescent="0.2">
      <c r="W155" s="7"/>
      <c r="X155" s="8"/>
      <c r="Y155" s="37"/>
      <c r="Z155" s="8"/>
    </row>
    <row r="156" spans="1:29" x14ac:dyDescent="0.2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U2:X32 Q2:S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39" priority="23">
      <formula>$B2=FERIADO</formula>
    </cfRule>
    <cfRule type="expression" dxfId="38" priority="24">
      <formula>$B2=DISPENSADO</formula>
    </cfRule>
    <cfRule type="expression" dxfId="37" priority="25">
      <formula>$B2=FERIAS</formula>
    </cfRule>
    <cfRule type="expression" dxfId="36" priority="26">
      <formula>$B2=MEIO_COMPENSADO</formula>
    </cfRule>
    <cfRule type="expression" dxfId="35" priority="27">
      <formula>$B2=COMPENSADO</formula>
    </cfRule>
    <cfRule type="expression" dxfId="34" priority="28">
      <formula>$B2=EXPEDIENTE_CORRIDO</formula>
    </cfRule>
    <cfRule type="expression" dxfId="33" priority="29">
      <formula>$B2=FIM_DE_SEMANA</formula>
    </cfRule>
    <cfRule type="expression" dxfId="32" priority="30">
      <formula>AND($B2="",ISBLANK($B3))</formula>
    </cfRule>
    <cfRule type="expression" dxfId="31" priority="31">
      <formula>AND($B2="",NOT(ISBLANK($B3)))</formula>
    </cfRule>
  </conditionalFormatting>
  <conditionalFormatting sqref="D2:G32 L2:L32 P2:X32">
    <cfRule type="cellIs" dxfId="30" priority="6" stopIfTrue="1" operator="lessThan">
      <formula>0</formula>
    </cfRule>
  </conditionalFormatting>
  <conditionalFormatting sqref="D2:G32">
    <cfRule type="expression" dxfId="29" priority="3" stopIfTrue="1">
      <formula>AND(NOT(ISBLANK(D2)),$B2=FERIAS)</formula>
    </cfRule>
    <cfRule type="notContainsBlanks" dxfId="28" priority="9">
      <formula>LEN(TRIM(D2))&gt;0</formula>
    </cfRule>
  </conditionalFormatting>
  <conditionalFormatting sqref="E2:F32">
    <cfRule type="expression" dxfId="27" priority="4" stopIfTrue="1">
      <formula>AND(AND(NOT(ISBLANK($E2)),NOT(ISBLANK($F2))),OR($B2=FERIADO,$B2=FIM_DE_SEMANA),($F2-$E2)&lt;TRUNC("1:00",6))</formula>
    </cfRule>
    <cfRule type="expression" dxfId="26" priority="10">
      <formula>AND(NOT(ISBLANK($D2)),NOT(ISBLANK($G2)))</formula>
    </cfRule>
  </conditionalFormatting>
  <conditionalFormatting sqref="H2:K32">
    <cfRule type="expression" dxfId="25" priority="7" stopIfTrue="1">
      <formula>NOT(_xlfn.ISFORMULA(H2))</formula>
    </cfRule>
    <cfRule type="expression" dxfId="24" priority="8" stopIfTrue="1">
      <formula>H2&lt;&gt;D2</formula>
    </cfRule>
  </conditionalFormatting>
  <conditionalFormatting sqref="L2:L32">
    <cfRule type="expression" dxfId="23" priority="17">
      <formula>OR(AND($L2=TIMEVALUE("8:00"),OR($B2=DIA_UTIL,$B2=MEIO_COMPENSADO,$B2=COMPENSADO)),AND($L2&gt;=TIMEVALUE("6:00"),$L2&lt;=TIMEVALUE("8:00"),$B2=EXPEDIENTE_CORRIDO))</formula>
    </cfRule>
    <cfRule type="expression" dxfId="22" priority="18">
      <formula>OR($L2&gt;TIMEVALUE("8:00"),AND($L2&gt;TIMEVALUE("0:00"),OR($B2=FERIADO,$B2=FIM_DE_SEMANA,$B2=DISPENSADO)))</formula>
    </cfRule>
    <cfRule type="expression" dxfId="21" priority="19">
      <formula>OR(AND(AND($L2&gt;TIMEVALUE("0:00"),$L2&lt;TIMEVALUE("8:00")),OR($B2=DIA_UTIL,$B2=MEIO_COMPENSADO,$B2=COMPENSADO)),AND(AND($L2&gt;TIMEVALUE("0:00"),$L2&lt;TIMEVALUE("6:00")),$B2=EXPEDIENTE_CORRIDO))</formula>
    </cfRule>
  </conditionalFormatting>
  <conditionalFormatting sqref="L2:P32 T2:T32">
    <cfRule type="expression" dxfId="20" priority="32">
      <formula>AND(L2=0,$B2=FERIADO)</formula>
    </cfRule>
    <cfRule type="expression" dxfId="19" priority="33">
      <formula>AND(L2=0,$B2=DISPENSADO)</formula>
    </cfRule>
    <cfRule type="expression" dxfId="18" priority="34">
      <formula>AND(L2=0,$B2=FERIAS)</formula>
    </cfRule>
    <cfRule type="expression" dxfId="17" priority="35">
      <formula>AND(L2=0,$B2=MEIO_COMPENSADO)</formula>
    </cfRule>
    <cfRule type="expression" dxfId="16" priority="36">
      <formula>AND(L2=0,$B2=COMPENSADO)</formula>
    </cfRule>
    <cfRule type="expression" dxfId="15" priority="37">
      <formula>AND(L2=0,$B2=EXPEDIENTE_CORRIDO)</formula>
    </cfRule>
    <cfRule type="expression" dxfId="14" priority="38">
      <formula>AND(L2=0,$B2=FIM_DE_SEMANA)</formula>
    </cfRule>
    <cfRule type="expression" dxfId="13" priority="39">
      <formula>AND(L2=0,$B2=DIA_UTIL)</formula>
    </cfRule>
    <cfRule type="expression" dxfId="12" priority="40">
      <formula>$B2=""</formula>
    </cfRule>
  </conditionalFormatting>
  <conditionalFormatting sqref="M2:O3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O2:O32">
    <cfRule type="expression" dxfId="9" priority="5" stopIfTrue="1">
      <formula>IF(OR(TIPO_DE_PONTO="Comercial",$A2="Sexta"),$O2&gt;=TIMEVALUE("0:31"),$O2&gt;=TIMEVALUE("1:01"))</formula>
    </cfRule>
  </conditionalFormatting>
  <conditionalFormatting sqref="P2:P33">
    <cfRule type="cellIs" dxfId="8" priority="13" operator="greaterThan">
      <formula>0</formula>
    </cfRule>
  </conditionalFormatting>
  <conditionalFormatting sqref="Q36 W37">
    <cfRule type="cellIs" dxfId="7" priority="21" operator="greaterThanOrEqual">
      <formula>0</formula>
    </cfRule>
    <cfRule type="cellIs" dxfId="6" priority="22" operator="lessThan">
      <formula>0</formula>
    </cfRule>
  </conditionalFormatting>
  <conditionalFormatting sqref="Q2:S33">
    <cfRule type="cellIs" dxfId="5" priority="14" operator="greaterThan">
      <formula>0</formula>
    </cfRule>
  </conditionalFormatting>
  <conditionalFormatting sqref="S40">
    <cfRule type="cellIs" dxfId="4" priority="1" operator="lessThan">
      <formula>0</formula>
    </cfRule>
    <cfRule type="cellIs" dxfId="3" priority="2" operator="greaterThan">
      <formula>0</formula>
    </cfRule>
  </conditionalFormatting>
  <conditionalFormatting sqref="T2:T33">
    <cfRule type="cellIs" dxfId="2" priority="15" operator="greaterThan">
      <formula>0</formula>
    </cfRule>
  </conditionalFormatting>
  <conditionalFormatting sqref="U2:X32 U33 W33:X33">
    <cfRule type="cellIs" dxfId="1" priority="16" operator="greaterThan">
      <formula>0</formula>
    </cfRule>
  </conditionalFormatting>
  <conditionalFormatting sqref="V33">
    <cfRule type="cellIs" dxfId="0" priority="20" operator="greaterThan">
      <formula>0</formula>
    </cfRule>
  </conditionalFormatting>
  <dataValidations count="9">
    <dataValidation allowBlank="1" showInputMessage="1" showErrorMessage="1" promptTitle="DICA" prompt="Ao fim do mês, é esperado que todos os tempos estejam tratados, assim esse valor será 00:00:00." sqref="P33:X33" xr:uid="{373D8FA4-12EE-4F70-97F6-9D5F5FFE41CF}"/>
    <dataValidation allowBlank="1" showInputMessage="1" showErrorMessage="1" promptTitle="DICA" prompt="Este valor responde:_x000a__Tenho CRE1 suficiente para compensar minhas ausências?_x000a__x000a_Quando este valor ficar:_x000a_- Zerado: o saldo está equilibrado (tudo OK);_x000a_- Verde: há CRE1 em excesso (tudo OK);_x000a_- Vermelho: CRE1 está faltando." sqref="Q36:S37" xr:uid="{8A834113-0BD8-4E6D-8B01-64B9417DAD6A}"/>
    <dataValidation allowBlank="1" showInputMessage="1" showErrorMessage="1" promptTitle="DICA" prompt="Este valor responde:_x000a__Preciso fazer hora extra para compensar alguma coisa?_x000a__x000a_Quando este valor ficar:_x000a_- Zerado: não há horas disponíveis nem faltando;_x000a_- Verde: há horas sobrando no mês (tudo OK);_x000a_- Vermelho: há horas faltando no mês." sqref="S40:U41" xr:uid="{FD687B04-244A-4211-B608-079747BC8D34}"/>
    <dataValidation allowBlank="1" showInputMessage="1" showErrorMessage="1" promptTitle="DICA" prompt="Este valor responde:_x000a__Compensei todo o CRE2 que preciso?_x000a__x000a_Quando este valor ficar:_x000a_- Zerado: o saldo está equilibrado (tudo OK);_x000a_- Verde: há CRE2 em excesso (tudo OK);_x000a_- Vermelho: ainda há CRE2 a ser compensado." sqref="W37" xr:uid="{33193764-9534-4C51-B28D-D650D506EF11}"/>
    <dataValidation allowBlank="1" showInputMessage="1" showErrorMessage="1" promptTitle="DICA" prompt="Essa coluna não entra na conta do saldo total de horas livre do mês." sqref="X1" xr:uid="{229AEB4B-452D-4417-928D-581DA760434F}"/>
    <dataValidation allowBlank="1" showInputMessage="1" showErrorMessage="1" promptTitle="DICA" prompt="Você pode colocar aqui outros tipos de abono, como o ABNO, que é o Abono Gerencial, ou o ENF1, que é o Abono por Licença Médica._x000a__x000a_Essa coluna não entra na conta do saldo total de horas livre do mês." sqref="S1" xr:uid="{A4D82FB7-5B2D-4F59-BDA2-816F0438F02A}"/>
    <dataValidation allowBlank="1" showInputMessage="1" showErrorMessage="1" promptTitle="DICA" prompt="Coluna de tempos não tratados._x000a_É normal esses valores sumirem quando você os trata nas colunas de tratamento à direita." sqref="P1 T1" xr:uid="{14DC22C5-B91B-4E7C-8273-2D5C6EF38B35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7111B563-DBAB-4023-B157-0184FE7D0529}"/>
    <dataValidation allowBlank="1" showInputMessage="1" showErrorMessage="1" promptTitle="Coluna auxiliar oculta" prompt="Traz as TAGs dos dias que definem o comportamento da linha._x000a__x000a_DICA:_x000a_O tipo de dia que você escolher no Calendário da planilha DADOS aparece aqui." sqref="B1" xr:uid="{9448CCEF-7997-4654-9CEF-D589FA4BF228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4938b94-8651-4235-b22e-b4a23df5be8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D9E1F6423998745BEA293CEBAF04549" ma:contentTypeVersion="15" ma:contentTypeDescription="Crie um novo documento." ma:contentTypeScope="" ma:versionID="8a4ed3230a052dff9bae9cb7bb15e972">
  <xsd:schema xmlns:xsd="http://www.w3.org/2001/XMLSchema" xmlns:xs="http://www.w3.org/2001/XMLSchema" xmlns:p="http://schemas.microsoft.com/office/2006/metadata/properties" xmlns:ns3="54938b94-8651-4235-b22e-b4a23df5be80" xmlns:ns4="8d1825b8-8c6e-4eaa-a3c6-db345a0481da" targetNamespace="http://schemas.microsoft.com/office/2006/metadata/properties" ma:root="true" ma:fieldsID="d2f8d6f7fd9cef42ac7ccea83e4119db" ns3:_="" ns4:_="">
    <xsd:import namespace="54938b94-8651-4235-b22e-b4a23df5be80"/>
    <xsd:import namespace="8d1825b8-8c6e-4eaa-a3c6-db345a0481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938b94-8651-4235-b22e-b4a23df5be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1825b8-8c6e-4eaa-a3c6-db345a0481da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424BA0-E1A2-4FD6-B16C-A03DE8B6C6C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6A6C77-0A58-4046-8886-BBCFEE49302F}">
  <ds:schemaRefs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8d1825b8-8c6e-4eaa-a3c6-db345a0481da"/>
    <ds:schemaRef ds:uri="http://schemas.microsoft.com/office/infopath/2007/PartnerControls"/>
    <ds:schemaRef ds:uri="54938b94-8651-4235-b22e-b4a23df5be80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753086A-5E2F-41CD-9B00-7271DDF228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938b94-8651-4235-b22e-b4a23df5be80"/>
    <ds:schemaRef ds:uri="8d1825b8-8c6e-4eaa-a3c6-db345a0481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3d11e7a-42f1-426f-87de-cb83ce0725cd}" enabled="1" method="Privileged" siteId="{0ad73864-486f-4f58-a5da-a44c51bf5c9b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11</vt:i4>
      </vt:variant>
    </vt:vector>
  </HeadingPairs>
  <TitlesOfParts>
    <vt:vector size="25" baseType="lpstr">
      <vt:lpstr>DADOS</vt:lpstr>
      <vt:lpstr>EXEMPLO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ANO</vt:lpstr>
      <vt:lpstr>Calendario_expandido</vt:lpstr>
      <vt:lpstr>COMPENSADO</vt:lpstr>
      <vt:lpstr>CRE_2</vt:lpstr>
      <vt:lpstr>DISPENSADO</vt:lpstr>
      <vt:lpstr>EXPEDIENTE_CORRIDO</vt:lpstr>
      <vt:lpstr>FERIADO</vt:lpstr>
      <vt:lpstr>FERIAS</vt:lpstr>
      <vt:lpstr>DADOS!Lista_tipo</vt:lpstr>
      <vt:lpstr>MEIO_COMPENSADO</vt:lpstr>
      <vt:lpstr>TIPO_DE_PONTO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leoneac@eletronuclear.gov.br</dc:creator>
  <cp:keywords/>
  <dc:description/>
  <cp:lastModifiedBy>Leone Andrade Campos</cp:lastModifiedBy>
  <cp:revision/>
  <dcterms:created xsi:type="dcterms:W3CDTF">2019-01-03T13:05:50Z</dcterms:created>
  <dcterms:modified xsi:type="dcterms:W3CDTF">2025-03-07T20:55:10Z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d11e7a-42f1-426f-87de-cb83ce0725cd_Enabled">
    <vt:lpwstr>true</vt:lpwstr>
  </property>
  <property fmtid="{D5CDD505-2E9C-101B-9397-08002B2CF9AE}" pid="3" name="MSIP_Label_23d11e7a-42f1-426f-87de-cb83ce0725cd_SetDate">
    <vt:lpwstr>2023-12-19T11:16:35Z</vt:lpwstr>
  </property>
  <property fmtid="{D5CDD505-2E9C-101B-9397-08002B2CF9AE}" pid="4" name="MSIP_Label_23d11e7a-42f1-426f-87de-cb83ce0725cd_Method">
    <vt:lpwstr>Privileged</vt:lpwstr>
  </property>
  <property fmtid="{D5CDD505-2E9C-101B-9397-08002B2CF9AE}" pid="5" name="MSIP_Label_23d11e7a-42f1-426f-87de-cb83ce0725cd_Name">
    <vt:lpwstr>Publico</vt:lpwstr>
  </property>
  <property fmtid="{D5CDD505-2E9C-101B-9397-08002B2CF9AE}" pid="6" name="MSIP_Label_23d11e7a-42f1-426f-87de-cb83ce0725cd_SiteId">
    <vt:lpwstr>0ad73864-486f-4f58-a5da-a44c51bf5c9b</vt:lpwstr>
  </property>
  <property fmtid="{D5CDD505-2E9C-101B-9397-08002B2CF9AE}" pid="7" name="MSIP_Label_23d11e7a-42f1-426f-87de-cb83ce0725cd_ActionId">
    <vt:lpwstr>a5f25e33-0651-4bd1-ba55-bce291a8e576</vt:lpwstr>
  </property>
  <property fmtid="{D5CDD505-2E9C-101B-9397-08002B2CF9AE}" pid="8" name="MSIP_Label_23d11e7a-42f1-426f-87de-cb83ce0725cd_ContentBits">
    <vt:lpwstr>2</vt:lpwstr>
  </property>
  <property fmtid="{D5CDD505-2E9C-101B-9397-08002B2CF9AE}" pid="9" name="ContentTypeId">
    <vt:lpwstr>0x0101004D9E1F6423998745BEA293CEBAF04549</vt:lpwstr>
  </property>
</Properties>
</file>