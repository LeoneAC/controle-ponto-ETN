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D:\Área de Trabalho\"/>
    </mc:Choice>
  </mc:AlternateContent>
  <xr:revisionPtr revIDLastSave="0" documentId="13_ncr:1_{CEB263D1-DA02-4F29-95B5-06540C1A2E7C}" xr6:coauthVersionLast="47" xr6:coauthVersionMax="47" xr10:uidLastSave="{00000000-0000-0000-0000-000000000000}"/>
  <workbookProtection lockStructure="1"/>
  <bookViews>
    <workbookView xWindow="-120" yWindow="-120" windowWidth="29040" windowHeight="15840" xr2:uid="{00000000-000D-0000-FFFF-FFFF00000000}"/>
  </bookViews>
  <sheets>
    <sheet name="DADOS" sheetId="53" r:id="rId1"/>
    <sheet name="EXEMPLO" sheetId="56" r:id="rId2"/>
    <sheet name="BASE" sheetId="111" state="veryHidden" r:id="rId3"/>
    <sheet name="Jan" sheetId="124" r:id="rId4"/>
    <sheet name="Fev" sheetId="125" r:id="rId5"/>
    <sheet name="Mar" sheetId="126" r:id="rId6"/>
    <sheet name="Abr" sheetId="127" r:id="rId7"/>
    <sheet name="Mai" sheetId="128" r:id="rId8"/>
    <sheet name="Jun" sheetId="129" r:id="rId9"/>
    <sheet name="Jul" sheetId="130" r:id="rId10"/>
    <sheet name="Ago" sheetId="131" r:id="rId11"/>
    <sheet name="Set" sheetId="132" r:id="rId12"/>
    <sheet name="Out" sheetId="133" r:id="rId13"/>
    <sheet name="Nov" sheetId="134" r:id="rId14"/>
    <sheet name="Dez" sheetId="135" r:id="rId15"/>
  </sheets>
  <functionGroups builtInGroupCount="19"/>
  <definedNames>
    <definedName name="_xleta.AND" hidden="1" xlm="1">#NAME?</definedName>
    <definedName name="ANO">DADOS!$K$16</definedName>
    <definedName name="Calendario_expandido">DADOS!$C$13:$E$70</definedName>
    <definedName name="COMPENSADO">DADOS!$P$24</definedName>
    <definedName name="CRE_2">DADOS!$K$18</definedName>
    <definedName name="DISPENSADO">DADOS!$P$21</definedName>
    <definedName name="EXPEDIENTE_CORRIDO">DADOS!$P$25</definedName>
    <definedName name="FERIADO">DADOS!$P$20</definedName>
    <definedName name="FERIAS">DADOS!$P$22</definedName>
    <definedName name="Lista_tipo" localSheetId="0">Legenda[TIPO]</definedName>
    <definedName name="MEIO_COMPENSADO">DADOS!$P$23</definedName>
    <definedName name="TIPO_DE_PONTO">DADOS!$K$14</definedName>
  </definedNames>
  <calcPr calcId="191029"/>
  <customWorkbookViews>
    <customWorkbookView name="Carlos Leonardo da Silva Xavier - Modo de exibição pessoal" guid="{9403C298-A554-4793-8CE1-CC7A584BA1B1}" mergeInterval="0" personalView="1" maximized="1" xWindow="-8" yWindow="-8" windowWidth="1456" windowHeight="87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3" i="135" l="1"/>
  <c r="W33" i="135"/>
  <c r="V33" i="135"/>
  <c r="U33" i="135"/>
  <c r="Q36" i="135" s="1"/>
  <c r="S33" i="135"/>
  <c r="R33" i="135"/>
  <c r="Q33" i="135"/>
  <c r="X33" i="134"/>
  <c r="W33" i="134"/>
  <c r="V33" i="134"/>
  <c r="U33" i="134"/>
  <c r="S33" i="134"/>
  <c r="R33" i="134"/>
  <c r="Q33" i="134"/>
  <c r="X33" i="133"/>
  <c r="W33" i="133"/>
  <c r="V33" i="133"/>
  <c r="U33" i="133"/>
  <c r="S33" i="133"/>
  <c r="R33" i="133"/>
  <c r="Q33" i="133"/>
  <c r="Q36" i="133" s="1"/>
  <c r="X33" i="132"/>
  <c r="W33" i="132"/>
  <c r="V33" i="132"/>
  <c r="U33" i="132"/>
  <c r="S33" i="132"/>
  <c r="R33" i="132"/>
  <c r="Q33" i="132"/>
  <c r="X33" i="131"/>
  <c r="W33" i="131"/>
  <c r="V33" i="131"/>
  <c r="U33" i="131"/>
  <c r="S33" i="131"/>
  <c r="R33" i="131"/>
  <c r="Q33" i="131"/>
  <c r="X33" i="130"/>
  <c r="W33" i="130"/>
  <c r="V33" i="130"/>
  <c r="U33" i="130"/>
  <c r="S33" i="130"/>
  <c r="R33" i="130"/>
  <c r="Q33" i="130"/>
  <c r="X33" i="129"/>
  <c r="W33" i="129"/>
  <c r="V33" i="129"/>
  <c r="U33" i="129"/>
  <c r="S33" i="129"/>
  <c r="R33" i="129"/>
  <c r="Q33" i="129"/>
  <c r="Q36" i="129" s="1"/>
  <c r="X33" i="128"/>
  <c r="W33" i="128"/>
  <c r="V33" i="128"/>
  <c r="U33" i="128"/>
  <c r="S33" i="128"/>
  <c r="R33" i="128"/>
  <c r="Q33" i="128"/>
  <c r="X33" i="127"/>
  <c r="W33" i="127"/>
  <c r="V33" i="127"/>
  <c r="U33" i="127"/>
  <c r="S33" i="127"/>
  <c r="R33" i="127"/>
  <c r="Q33" i="127"/>
  <c r="X33" i="126"/>
  <c r="W33" i="126"/>
  <c r="V33" i="126"/>
  <c r="U33" i="126"/>
  <c r="S33" i="126"/>
  <c r="R33" i="126"/>
  <c r="Q33" i="126"/>
  <c r="Q36" i="126" s="1"/>
  <c r="X33" i="125"/>
  <c r="W33" i="125"/>
  <c r="V33" i="125"/>
  <c r="U33" i="125"/>
  <c r="S33" i="125"/>
  <c r="R33" i="125"/>
  <c r="Q33" i="125"/>
  <c r="Q36" i="125" s="1"/>
  <c r="X33" i="124"/>
  <c r="W33" i="124"/>
  <c r="V33" i="124"/>
  <c r="U33" i="124"/>
  <c r="Q36" i="124" s="1"/>
  <c r="S33" i="124"/>
  <c r="R33" i="124"/>
  <c r="Q33" i="124"/>
  <c r="B8" i="53"/>
  <c r="K16" i="53"/>
  <c r="C2" i="135" s="1"/>
  <c r="Y2" i="135" s="1"/>
  <c r="C2" i="134" l="1"/>
  <c r="Y2" i="134" s="1"/>
  <c r="C2" i="127"/>
  <c r="Y2" i="127" s="1"/>
  <c r="C2" i="125"/>
  <c r="Y2" i="125" s="1"/>
  <c r="C2" i="132"/>
  <c r="Y2" i="132" s="1"/>
  <c r="C2" i="128"/>
  <c r="Y2" i="128" s="1"/>
  <c r="C2" i="124"/>
  <c r="C3" i="124" s="1"/>
  <c r="C4" i="124" s="1"/>
  <c r="C2" i="131"/>
  <c r="Y2" i="131" s="1"/>
  <c r="C2" i="126"/>
  <c r="B2" i="126" s="1"/>
  <c r="J2" i="126" s="1"/>
  <c r="C2" i="130"/>
  <c r="C3" i="130" s="1"/>
  <c r="A3" i="130" s="1"/>
  <c r="C2" i="129"/>
  <c r="C3" i="129" s="1"/>
  <c r="Y3" i="129" s="1"/>
  <c r="Q36" i="134"/>
  <c r="C2" i="133"/>
  <c r="Y2" i="133" s="1"/>
  <c r="Q36" i="132"/>
  <c r="Q36" i="131"/>
  <c r="Q36" i="130"/>
  <c r="Q36" i="128"/>
  <c r="Q36" i="127"/>
  <c r="A2" i="135"/>
  <c r="C3" i="135"/>
  <c r="B2" i="135"/>
  <c r="A2" i="132"/>
  <c r="C3" i="132"/>
  <c r="A2" i="128"/>
  <c r="C3" i="128"/>
  <c r="B2" i="128"/>
  <c r="Q36" i="111"/>
  <c r="X33" i="111"/>
  <c r="W33" i="111"/>
  <c r="V33" i="111"/>
  <c r="U33" i="111"/>
  <c r="S33" i="111"/>
  <c r="R33" i="111"/>
  <c r="Q33" i="111"/>
  <c r="Q36" i="56"/>
  <c r="X33" i="56"/>
  <c r="W33" i="56"/>
  <c r="V33" i="56"/>
  <c r="U33" i="56"/>
  <c r="S33" i="56"/>
  <c r="R33" i="56"/>
  <c r="Q33" i="56"/>
  <c r="K32" i="56"/>
  <c r="J32" i="56"/>
  <c r="I32" i="56"/>
  <c r="H32" i="56"/>
  <c r="C32" i="56"/>
  <c r="A32" i="56"/>
  <c r="K31" i="56"/>
  <c r="J31" i="56"/>
  <c r="I31" i="56"/>
  <c r="H31" i="56"/>
  <c r="C31" i="56"/>
  <c r="A31" i="56"/>
  <c r="K30" i="56"/>
  <c r="J30" i="56"/>
  <c r="I30" i="56"/>
  <c r="H30" i="56"/>
  <c r="C30" i="56"/>
  <c r="A30" i="56"/>
  <c r="K29" i="56"/>
  <c r="J29" i="56"/>
  <c r="I29" i="56"/>
  <c r="H29" i="56"/>
  <c r="C29" i="56"/>
  <c r="A29" i="56"/>
  <c r="K28" i="56"/>
  <c r="J28" i="56"/>
  <c r="I28" i="56"/>
  <c r="H28" i="56"/>
  <c r="C28" i="56"/>
  <c r="A28" i="56"/>
  <c r="K27" i="56"/>
  <c r="J27" i="56"/>
  <c r="I27" i="56"/>
  <c r="H27" i="56"/>
  <c r="C27" i="56"/>
  <c r="A27" i="56"/>
  <c r="K26" i="56"/>
  <c r="J26" i="56"/>
  <c r="I26" i="56"/>
  <c r="H26" i="56"/>
  <c r="C26" i="56"/>
  <c r="A26" i="56"/>
  <c r="K25" i="56"/>
  <c r="J25" i="56"/>
  <c r="I25" i="56"/>
  <c r="H25" i="56"/>
  <c r="C25" i="56"/>
  <c r="A25" i="56"/>
  <c r="K24" i="56"/>
  <c r="J24" i="56"/>
  <c r="I24" i="56"/>
  <c r="H24" i="56"/>
  <c r="C24" i="56"/>
  <c r="A24" i="56"/>
  <c r="K23" i="56"/>
  <c r="J23" i="56"/>
  <c r="I23" i="56"/>
  <c r="H23" i="56"/>
  <c r="C23" i="56"/>
  <c r="A23" i="56"/>
  <c r="K22" i="56"/>
  <c r="J22" i="56"/>
  <c r="I22" i="56"/>
  <c r="H22" i="56"/>
  <c r="C22" i="56"/>
  <c r="A22" i="56"/>
  <c r="K21" i="56"/>
  <c r="J21" i="56"/>
  <c r="I21" i="56"/>
  <c r="H21" i="56"/>
  <c r="C21" i="56"/>
  <c r="A21" i="56"/>
  <c r="K20" i="56"/>
  <c r="J20" i="56"/>
  <c r="I20" i="56"/>
  <c r="H20" i="56"/>
  <c r="C20" i="56"/>
  <c r="A20" i="56"/>
  <c r="K19" i="56"/>
  <c r="J19" i="56"/>
  <c r="I19" i="56"/>
  <c r="H19" i="56"/>
  <c r="C19" i="56"/>
  <c r="A19" i="56"/>
  <c r="K18" i="56"/>
  <c r="J18" i="56"/>
  <c r="I18" i="56"/>
  <c r="H18" i="56"/>
  <c r="C18" i="56"/>
  <c r="A18" i="56"/>
  <c r="K17" i="56"/>
  <c r="J17" i="56"/>
  <c r="I17" i="56"/>
  <c r="H17" i="56"/>
  <c r="C17" i="56"/>
  <c r="A17" i="56"/>
  <c r="K16" i="56"/>
  <c r="J16" i="56"/>
  <c r="I16" i="56"/>
  <c r="H16" i="56"/>
  <c r="C16" i="56"/>
  <c r="A16" i="56"/>
  <c r="K15" i="56"/>
  <c r="J15" i="56"/>
  <c r="I15" i="56"/>
  <c r="H15" i="56"/>
  <c r="C15" i="56"/>
  <c r="A15" i="56"/>
  <c r="K14" i="56"/>
  <c r="J14" i="56"/>
  <c r="I14" i="56"/>
  <c r="H14" i="56"/>
  <c r="C14" i="56"/>
  <c r="A14" i="56"/>
  <c r="K13" i="56"/>
  <c r="J13" i="56"/>
  <c r="I13" i="56"/>
  <c r="H13" i="56"/>
  <c r="C13" i="56"/>
  <c r="A13" i="56"/>
  <c r="K12" i="56"/>
  <c r="J12" i="56"/>
  <c r="I12" i="56"/>
  <c r="H12" i="56"/>
  <c r="C12" i="56"/>
  <c r="A12" i="56"/>
  <c r="K11" i="56"/>
  <c r="J11" i="56"/>
  <c r="I11" i="56"/>
  <c r="H11" i="56"/>
  <c r="C11" i="56"/>
  <c r="A11" i="56"/>
  <c r="K10" i="56"/>
  <c r="J10" i="56"/>
  <c r="I10" i="56"/>
  <c r="H10" i="56"/>
  <c r="C10" i="56"/>
  <c r="A10" i="56"/>
  <c r="K9" i="56"/>
  <c r="J9" i="56"/>
  <c r="I9" i="56"/>
  <c r="H9" i="56"/>
  <c r="C9" i="56"/>
  <c r="A9" i="56"/>
  <c r="K8" i="56"/>
  <c r="J8" i="56"/>
  <c r="I8" i="56"/>
  <c r="H8" i="56"/>
  <c r="C8" i="56"/>
  <c r="A8" i="56"/>
  <c r="K7" i="56"/>
  <c r="J7" i="56"/>
  <c r="I7" i="56"/>
  <c r="H7" i="56"/>
  <c r="C7" i="56"/>
  <c r="A7" i="56"/>
  <c r="K6" i="56"/>
  <c r="J6" i="56"/>
  <c r="I6" i="56"/>
  <c r="H6" i="56"/>
  <c r="C6" i="56"/>
  <c r="A6" i="56"/>
  <c r="K5" i="56"/>
  <c r="J5" i="56"/>
  <c r="I5" i="56"/>
  <c r="H5" i="56"/>
  <c r="C5" i="56"/>
  <c r="A5" i="56"/>
  <c r="K4" i="56"/>
  <c r="J4" i="56"/>
  <c r="I4" i="56"/>
  <c r="H4" i="56"/>
  <c r="C4" i="56"/>
  <c r="A4" i="56"/>
  <c r="K3" i="56"/>
  <c r="J3" i="56"/>
  <c r="I3" i="56"/>
  <c r="H3" i="56"/>
  <c r="C3" i="56"/>
  <c r="A3" i="56"/>
  <c r="K2" i="56"/>
  <c r="J2" i="56"/>
  <c r="I2" i="56"/>
  <c r="H2" i="56"/>
  <c r="A2" i="56"/>
  <c r="K18" i="53"/>
  <c r="H3" i="53"/>
  <c r="H24" i="53" s="1"/>
  <c r="U37" i="124"/>
  <c r="U37" i="111"/>
  <c r="A2" i="124" l="1"/>
  <c r="Y3" i="124"/>
  <c r="A2" i="130"/>
  <c r="B2" i="125"/>
  <c r="C3" i="125"/>
  <c r="A3" i="125" s="1"/>
  <c r="K2" i="126"/>
  <c r="H2" i="126"/>
  <c r="I2" i="126"/>
  <c r="L2" i="126" s="1"/>
  <c r="T2" i="126" s="1"/>
  <c r="B2" i="127"/>
  <c r="C3" i="126"/>
  <c r="B2" i="134"/>
  <c r="B2" i="130"/>
  <c r="I2" i="130" s="1"/>
  <c r="A2" i="126"/>
  <c r="Y2" i="126"/>
  <c r="Y2" i="130"/>
  <c r="A3" i="124"/>
  <c r="H3" i="124" s="1"/>
  <c r="B3" i="129"/>
  <c r="B2" i="132"/>
  <c r="I2" i="132" s="1"/>
  <c r="B3" i="130"/>
  <c r="C3" i="134"/>
  <c r="B3" i="134" s="1"/>
  <c r="A2" i="125"/>
  <c r="C3" i="127"/>
  <c r="Y3" i="127" s="1"/>
  <c r="Y3" i="130"/>
  <c r="A2" i="134"/>
  <c r="A2" i="129"/>
  <c r="B2" i="124"/>
  <c r="A2" i="127"/>
  <c r="C4" i="129"/>
  <c r="B4" i="129" s="1"/>
  <c r="C4" i="130"/>
  <c r="C5" i="130" s="1"/>
  <c r="B2" i="129"/>
  <c r="K2" i="129" s="1"/>
  <c r="B3" i="124"/>
  <c r="I3" i="124" s="1"/>
  <c r="Y2" i="129"/>
  <c r="C3" i="131"/>
  <c r="Y3" i="131" s="1"/>
  <c r="A2" i="131"/>
  <c r="B2" i="131"/>
  <c r="K2" i="131" s="1"/>
  <c r="Y2" i="124"/>
  <c r="A3" i="129"/>
  <c r="H3" i="129" s="1"/>
  <c r="B2" i="133"/>
  <c r="I2" i="133" s="1"/>
  <c r="C3" i="133"/>
  <c r="B3" i="133" s="1"/>
  <c r="A2" i="133"/>
  <c r="W37" i="124"/>
  <c r="K2" i="135"/>
  <c r="J2" i="135"/>
  <c r="I2" i="135"/>
  <c r="H2" i="135"/>
  <c r="C4" i="135"/>
  <c r="A3" i="135"/>
  <c r="Y3" i="135"/>
  <c r="B3" i="135"/>
  <c r="K2" i="134"/>
  <c r="H2" i="134"/>
  <c r="I2" i="134"/>
  <c r="J2" i="134"/>
  <c r="Y3" i="134"/>
  <c r="C4" i="134"/>
  <c r="A3" i="133"/>
  <c r="A3" i="132"/>
  <c r="Y3" i="132"/>
  <c r="B3" i="132"/>
  <c r="C4" i="132"/>
  <c r="J2" i="132"/>
  <c r="H2" i="132"/>
  <c r="K2" i="132"/>
  <c r="J2" i="131"/>
  <c r="K2" i="130"/>
  <c r="C4" i="131"/>
  <c r="A3" i="131"/>
  <c r="B3" i="131"/>
  <c r="J2" i="130"/>
  <c r="H2" i="130"/>
  <c r="K3" i="130"/>
  <c r="I3" i="130"/>
  <c r="H3" i="130"/>
  <c r="J3" i="130"/>
  <c r="Y4" i="130"/>
  <c r="C5" i="129"/>
  <c r="A4" i="129"/>
  <c r="Y4" i="129"/>
  <c r="K3" i="129"/>
  <c r="I3" i="129"/>
  <c r="J3" i="129"/>
  <c r="J2" i="128"/>
  <c r="I2" i="128"/>
  <c r="H2" i="128"/>
  <c r="K2" i="128"/>
  <c r="C4" i="128"/>
  <c r="A3" i="128"/>
  <c r="Y3" i="128"/>
  <c r="B3" i="128"/>
  <c r="I2" i="127"/>
  <c r="H2" i="127"/>
  <c r="K2" i="127"/>
  <c r="J2" i="127"/>
  <c r="B3" i="126"/>
  <c r="C4" i="126"/>
  <c r="A3" i="126"/>
  <c r="Y3" i="126"/>
  <c r="C4" i="125"/>
  <c r="Y4" i="125" s="1"/>
  <c r="J2" i="125"/>
  <c r="I2" i="125"/>
  <c r="K2" i="125"/>
  <c r="H2" i="125"/>
  <c r="K2" i="124"/>
  <c r="J2" i="124"/>
  <c r="I2" i="124"/>
  <c r="H2" i="124"/>
  <c r="K3" i="124"/>
  <c r="J3" i="124"/>
  <c r="C5" i="124"/>
  <c r="A4" i="124"/>
  <c r="B4" i="124"/>
  <c r="Y4" i="124"/>
  <c r="U37" i="56"/>
  <c r="W37" i="56" s="1"/>
  <c r="L4" i="56"/>
  <c r="P4" i="56" s="1"/>
  <c r="L8" i="56"/>
  <c r="N8" i="56" s="1"/>
  <c r="L12" i="56"/>
  <c r="O12" i="56" s="1"/>
  <c r="L16" i="56"/>
  <c r="O16" i="56" s="1"/>
  <c r="L20" i="56"/>
  <c r="N20" i="56" s="1"/>
  <c r="L24" i="56"/>
  <c r="M24" i="56" s="1"/>
  <c r="L28" i="56"/>
  <c r="M28" i="56" s="1"/>
  <c r="L32" i="56"/>
  <c r="P32" i="56" s="1"/>
  <c r="L3" i="56"/>
  <c r="P3" i="56" s="1"/>
  <c r="L7" i="56"/>
  <c r="O7" i="56" s="1"/>
  <c r="L11" i="56"/>
  <c r="O11" i="56" s="1"/>
  <c r="L15" i="56"/>
  <c r="M15" i="56" s="1"/>
  <c r="L19" i="56"/>
  <c r="O19" i="56" s="1"/>
  <c r="L23" i="56"/>
  <c r="L27" i="56"/>
  <c r="P27" i="56" s="1"/>
  <c r="L31" i="56"/>
  <c r="N31" i="56" s="1"/>
  <c r="L2" i="56"/>
  <c r="N2" i="56" s="1"/>
  <c r="L6" i="56"/>
  <c r="T6" i="56" s="1"/>
  <c r="L10" i="56"/>
  <c r="M10" i="56" s="1"/>
  <c r="L14" i="56"/>
  <c r="O14" i="56" s="1"/>
  <c r="L18" i="56"/>
  <c r="O18" i="56" s="1"/>
  <c r="L22" i="56"/>
  <c r="N22" i="56" s="1"/>
  <c r="L26" i="56"/>
  <c r="O26" i="56" s="1"/>
  <c r="L30" i="56"/>
  <c r="O30" i="56" s="1"/>
  <c r="L5" i="56"/>
  <c r="N5" i="56" s="1"/>
  <c r="L9" i="56"/>
  <c r="M9" i="56" s="1"/>
  <c r="L13" i="56"/>
  <c r="N13" i="56" s="1"/>
  <c r="L17" i="56"/>
  <c r="O17" i="56" s="1"/>
  <c r="L21" i="56"/>
  <c r="M21" i="56" s="1"/>
  <c r="L25" i="56"/>
  <c r="N25" i="56" s="1"/>
  <c r="L29" i="56"/>
  <c r="O29" i="56" s="1"/>
  <c r="O31" i="56"/>
  <c r="C2" i="111"/>
  <c r="B2" i="111" s="1"/>
  <c r="H2" i="111" s="1"/>
  <c r="W37" i="111"/>
  <c r="U37" i="125"/>
  <c r="Y3" i="125" l="1"/>
  <c r="B4" i="130"/>
  <c r="A4" i="130"/>
  <c r="B3" i="125"/>
  <c r="K3" i="125" s="1"/>
  <c r="Y3" i="133"/>
  <c r="H2" i="131"/>
  <c r="I2" i="129"/>
  <c r="H2" i="129"/>
  <c r="C4" i="127"/>
  <c r="J2" i="129"/>
  <c r="K2" i="133"/>
  <c r="A3" i="127"/>
  <c r="B3" i="127"/>
  <c r="K3" i="127" s="1"/>
  <c r="A3" i="134"/>
  <c r="I2" i="131"/>
  <c r="L2" i="131" s="1"/>
  <c r="P2" i="131" s="1"/>
  <c r="J2" i="133"/>
  <c r="C4" i="133"/>
  <c r="H2" i="133"/>
  <c r="W37" i="125"/>
  <c r="B4" i="135"/>
  <c r="C5" i="135"/>
  <c r="A4" i="135"/>
  <c r="Y4" i="135"/>
  <c r="L2" i="135"/>
  <c r="I3" i="135"/>
  <c r="K3" i="135"/>
  <c r="J3" i="135"/>
  <c r="H3" i="135"/>
  <c r="C5" i="134"/>
  <c r="A4" i="134"/>
  <c r="Y4" i="134"/>
  <c r="B4" i="134"/>
  <c r="K3" i="134"/>
  <c r="J3" i="134"/>
  <c r="I3" i="134"/>
  <c r="H3" i="134"/>
  <c r="L2" i="134"/>
  <c r="T2" i="134" s="1"/>
  <c r="B4" i="133"/>
  <c r="C5" i="133"/>
  <c r="A4" i="133"/>
  <c r="Y4" i="133"/>
  <c r="K3" i="133"/>
  <c r="J3" i="133"/>
  <c r="I3" i="133"/>
  <c r="H3" i="133"/>
  <c r="L2" i="132"/>
  <c r="B4" i="132"/>
  <c r="C5" i="132"/>
  <c r="A4" i="132"/>
  <c r="Y4" i="132"/>
  <c r="H3" i="132"/>
  <c r="K3" i="132"/>
  <c r="J3" i="132"/>
  <c r="I3" i="132"/>
  <c r="K3" i="131"/>
  <c r="J3" i="131"/>
  <c r="I3" i="131"/>
  <c r="H3" i="131"/>
  <c r="Y4" i="131"/>
  <c r="B4" i="131"/>
  <c r="C5" i="131"/>
  <c r="A4" i="131"/>
  <c r="L2" i="130"/>
  <c r="P2" i="130" s="1"/>
  <c r="L2" i="129"/>
  <c r="L3" i="130"/>
  <c r="K4" i="130"/>
  <c r="J4" i="130"/>
  <c r="I4" i="130"/>
  <c r="H4" i="130"/>
  <c r="B5" i="130"/>
  <c r="C6" i="130"/>
  <c r="A5" i="130"/>
  <c r="Y5" i="130"/>
  <c r="L3" i="129"/>
  <c r="K4" i="129"/>
  <c r="J4" i="129"/>
  <c r="I4" i="129"/>
  <c r="H4" i="129"/>
  <c r="C6" i="129"/>
  <c r="A5" i="129"/>
  <c r="Y5" i="129"/>
  <c r="B5" i="129"/>
  <c r="L2" i="128"/>
  <c r="K3" i="128"/>
  <c r="J3" i="128"/>
  <c r="I3" i="128"/>
  <c r="H3" i="128"/>
  <c r="M2" i="126"/>
  <c r="B4" i="128"/>
  <c r="C5" i="128"/>
  <c r="A4" i="128"/>
  <c r="Y4" i="128"/>
  <c r="N2" i="126"/>
  <c r="P2" i="126"/>
  <c r="L2" i="127"/>
  <c r="P2" i="127" s="1"/>
  <c r="O2" i="126"/>
  <c r="C5" i="127"/>
  <c r="A4" i="127"/>
  <c r="Y4" i="127"/>
  <c r="B4" i="127"/>
  <c r="C5" i="126"/>
  <c r="A4" i="126"/>
  <c r="Y4" i="126"/>
  <c r="B4" i="126"/>
  <c r="J3" i="126"/>
  <c r="K3" i="126"/>
  <c r="I3" i="126"/>
  <c r="H3" i="126"/>
  <c r="C5" i="125"/>
  <c r="C6" i="125" s="1"/>
  <c r="A4" i="125"/>
  <c r="J3" i="125"/>
  <c r="H3" i="125"/>
  <c r="B4" i="125"/>
  <c r="I4" i="125" s="1"/>
  <c r="I3" i="125"/>
  <c r="L2" i="125"/>
  <c r="T2" i="125" s="1"/>
  <c r="H4" i="124"/>
  <c r="I4" i="124"/>
  <c r="K4" i="124"/>
  <c r="J4" i="124"/>
  <c r="L2" i="124"/>
  <c r="Y5" i="124"/>
  <c r="B5" i="124"/>
  <c r="C6" i="124"/>
  <c r="A5" i="124"/>
  <c r="L3" i="124"/>
  <c r="P29" i="56"/>
  <c r="M13" i="56"/>
  <c r="P30" i="56"/>
  <c r="T5" i="56"/>
  <c r="M16" i="56"/>
  <c r="N16" i="56"/>
  <c r="M32" i="56"/>
  <c r="P2" i="56"/>
  <c r="N3" i="56"/>
  <c r="M4" i="56"/>
  <c r="N12" i="56"/>
  <c r="M12" i="56"/>
  <c r="P13" i="56"/>
  <c r="T12" i="56"/>
  <c r="P5" i="56"/>
  <c r="N17" i="56"/>
  <c r="M2" i="56"/>
  <c r="O10" i="56"/>
  <c r="T13" i="56"/>
  <c r="N15" i="56"/>
  <c r="M31" i="56"/>
  <c r="T31" i="56" s="1"/>
  <c r="O9" i="56"/>
  <c r="P9" i="56" s="1"/>
  <c r="M6" i="56"/>
  <c r="P31" i="56"/>
  <c r="N6" i="56"/>
  <c r="N32" i="56"/>
  <c r="O2" i="56"/>
  <c r="N30" i="56"/>
  <c r="N4" i="56"/>
  <c r="N7" i="56"/>
  <c r="N21" i="56"/>
  <c r="M5" i="56"/>
  <c r="M3" i="56"/>
  <c r="O32" i="56"/>
  <c r="M29" i="56"/>
  <c r="N26" i="56"/>
  <c r="N10" i="56"/>
  <c r="N27" i="56"/>
  <c r="O28" i="56"/>
  <c r="T26" i="56"/>
  <c r="O27" i="56"/>
  <c r="M20" i="56"/>
  <c r="N11" i="56"/>
  <c r="M27" i="56"/>
  <c r="N29" i="56"/>
  <c r="P22" i="56"/>
  <c r="O5" i="56"/>
  <c r="P14" i="56"/>
  <c r="O15" i="56"/>
  <c r="M30" i="56"/>
  <c r="P11" i="56"/>
  <c r="O13" i="56"/>
  <c r="O6" i="56"/>
  <c r="O3" i="56"/>
  <c r="M11" i="56"/>
  <c r="O24" i="56"/>
  <c r="P6" i="56"/>
  <c r="M25" i="56"/>
  <c r="N9" i="56"/>
  <c r="M14" i="56"/>
  <c r="P10" i="56"/>
  <c r="M8" i="56"/>
  <c r="O25" i="56"/>
  <c r="P18" i="56"/>
  <c r="O22" i="56"/>
  <c r="M23" i="56"/>
  <c r="N24" i="56"/>
  <c r="O21" i="56"/>
  <c r="P20" i="56"/>
  <c r="P21" i="56"/>
  <c r="P19" i="56"/>
  <c r="M18" i="56"/>
  <c r="N23" i="56"/>
  <c r="T19" i="56"/>
  <c r="N18" i="56"/>
  <c r="M22" i="56"/>
  <c r="O23" i="56"/>
  <c r="N19" i="56"/>
  <c r="M17" i="56"/>
  <c r="M19" i="56"/>
  <c r="Y2" i="111"/>
  <c r="T2" i="111"/>
  <c r="M26" i="56"/>
  <c r="N14" i="56"/>
  <c r="P12" i="56"/>
  <c r="M7" i="56"/>
  <c r="T27" i="56"/>
  <c r="O4" i="56"/>
  <c r="N28" i="56"/>
  <c r="O20" i="56"/>
  <c r="O8" i="56"/>
  <c r="C3" i="111"/>
  <c r="B3" i="111" s="1"/>
  <c r="K3" i="111" s="1"/>
  <c r="P28" i="56"/>
  <c r="T20" i="56"/>
  <c r="J2" i="111"/>
  <c r="I2" i="111"/>
  <c r="K2" i="111"/>
  <c r="A2" i="111"/>
  <c r="U37" i="126"/>
  <c r="I3" i="127" l="1"/>
  <c r="H3" i="127"/>
  <c r="J3" i="127"/>
  <c r="L2" i="133"/>
  <c r="O2" i="133" s="1"/>
  <c r="W37" i="126"/>
  <c r="M2" i="131"/>
  <c r="L3" i="135"/>
  <c r="P2" i="135"/>
  <c r="O2" i="135"/>
  <c r="N2" i="135"/>
  <c r="M2" i="135"/>
  <c r="B5" i="135"/>
  <c r="C6" i="135"/>
  <c r="A5" i="135"/>
  <c r="Y5" i="135"/>
  <c r="K4" i="135"/>
  <c r="H4" i="135"/>
  <c r="J4" i="135"/>
  <c r="I4" i="135"/>
  <c r="O2" i="131"/>
  <c r="N2" i="131"/>
  <c r="L3" i="134"/>
  <c r="K4" i="134"/>
  <c r="J4" i="134"/>
  <c r="I4" i="134"/>
  <c r="H4" i="134"/>
  <c r="P2" i="134"/>
  <c r="O2" i="134"/>
  <c r="N2" i="134"/>
  <c r="M2" i="134"/>
  <c r="C6" i="134"/>
  <c r="A5" i="134"/>
  <c r="Y5" i="134"/>
  <c r="B5" i="134"/>
  <c r="P2" i="129"/>
  <c r="P2" i="133"/>
  <c r="L3" i="133"/>
  <c r="A5" i="133"/>
  <c r="B5" i="133"/>
  <c r="C6" i="133"/>
  <c r="Y5" i="133"/>
  <c r="K4" i="133"/>
  <c r="J4" i="133"/>
  <c r="I4" i="133"/>
  <c r="H4" i="133"/>
  <c r="L3" i="132"/>
  <c r="O3" i="132" s="1"/>
  <c r="B5" i="132"/>
  <c r="C6" i="132"/>
  <c r="A5" i="132"/>
  <c r="Y5" i="132"/>
  <c r="K4" i="132"/>
  <c r="J4" i="132"/>
  <c r="I4" i="132"/>
  <c r="H4" i="132"/>
  <c r="N2" i="132"/>
  <c r="P2" i="132"/>
  <c r="O2" i="132"/>
  <c r="M2" i="132"/>
  <c r="M2" i="130"/>
  <c r="N2" i="130"/>
  <c r="O2" i="129"/>
  <c r="B5" i="131"/>
  <c r="C6" i="131"/>
  <c r="A5" i="131"/>
  <c r="Y5" i="131"/>
  <c r="L4" i="130"/>
  <c r="P4" i="130" s="1"/>
  <c r="O2" i="130"/>
  <c r="J4" i="131"/>
  <c r="K4" i="131"/>
  <c r="I4" i="131"/>
  <c r="H4" i="131"/>
  <c r="L3" i="131"/>
  <c r="T3" i="131" s="1"/>
  <c r="N2" i="129"/>
  <c r="O4" i="130"/>
  <c r="P3" i="130"/>
  <c r="O3" i="130"/>
  <c r="N3" i="130"/>
  <c r="M3" i="130"/>
  <c r="B6" i="130"/>
  <c r="C7" i="130"/>
  <c r="A6" i="130"/>
  <c r="Y6" i="130"/>
  <c r="M2" i="129"/>
  <c r="I5" i="130"/>
  <c r="K5" i="130"/>
  <c r="J5" i="130"/>
  <c r="H5" i="130"/>
  <c r="L4" i="129"/>
  <c r="O4" i="129" s="1"/>
  <c r="B6" i="129"/>
  <c r="C7" i="129"/>
  <c r="A6" i="129"/>
  <c r="Y6" i="129"/>
  <c r="P2" i="128"/>
  <c r="O2" i="128"/>
  <c r="I5" i="129"/>
  <c r="K5" i="129"/>
  <c r="J5" i="129"/>
  <c r="H5" i="129"/>
  <c r="P3" i="129"/>
  <c r="O3" i="129"/>
  <c r="N3" i="129"/>
  <c r="M3" i="129"/>
  <c r="M2" i="128"/>
  <c r="N2" i="128"/>
  <c r="L3" i="128"/>
  <c r="P3" i="128" s="1"/>
  <c r="M2" i="127"/>
  <c r="B5" i="128"/>
  <c r="C6" i="128"/>
  <c r="A5" i="128"/>
  <c r="Y5" i="128"/>
  <c r="K4" i="128"/>
  <c r="J4" i="128"/>
  <c r="I4" i="128"/>
  <c r="H4" i="128"/>
  <c r="O2" i="127"/>
  <c r="N2" i="127"/>
  <c r="J4" i="127"/>
  <c r="I4" i="127"/>
  <c r="H4" i="127"/>
  <c r="K4" i="127"/>
  <c r="B5" i="127"/>
  <c r="A5" i="127"/>
  <c r="Y5" i="127"/>
  <c r="C6" i="127"/>
  <c r="Y5" i="125"/>
  <c r="B5" i="125"/>
  <c r="I5" i="125" s="1"/>
  <c r="K4" i="126"/>
  <c r="J4" i="126"/>
  <c r="I4" i="126"/>
  <c r="H4" i="126"/>
  <c r="H4" i="125"/>
  <c r="A5" i="125"/>
  <c r="B5" i="126"/>
  <c r="C6" i="126"/>
  <c r="A5" i="126"/>
  <c r="Y5" i="126"/>
  <c r="L3" i="126"/>
  <c r="L3" i="125"/>
  <c r="J4" i="125"/>
  <c r="K4" i="125"/>
  <c r="P2" i="125"/>
  <c r="O2" i="125"/>
  <c r="N2" i="125"/>
  <c r="M2" i="125"/>
  <c r="Y6" i="125"/>
  <c r="B6" i="125"/>
  <c r="C7" i="125"/>
  <c r="A6" i="125"/>
  <c r="L4" i="124"/>
  <c r="O4" i="124" s="1"/>
  <c r="C7" i="124"/>
  <c r="Y6" i="124"/>
  <c r="A6" i="124"/>
  <c r="B6" i="124"/>
  <c r="I5" i="124"/>
  <c r="H5" i="124"/>
  <c r="K5" i="124"/>
  <c r="J5" i="124"/>
  <c r="M2" i="124"/>
  <c r="T2" i="124" s="1"/>
  <c r="P2" i="124"/>
  <c r="O2" i="124"/>
  <c r="N2" i="124"/>
  <c r="M3" i="124"/>
  <c r="O3" i="124"/>
  <c r="N3" i="124"/>
  <c r="P3" i="124"/>
  <c r="P23" i="56"/>
  <c r="T9" i="56"/>
  <c r="T16" i="56"/>
  <c r="P16" i="56"/>
  <c r="T3" i="56"/>
  <c r="T29" i="56"/>
  <c r="T30" i="56"/>
  <c r="T28" i="56"/>
  <c r="T2" i="56"/>
  <c r="T11" i="56"/>
  <c r="T32" i="56"/>
  <c r="T15" i="56"/>
  <c r="T10" i="56"/>
  <c r="P17" i="56"/>
  <c r="P25" i="56"/>
  <c r="T4" i="56"/>
  <c r="P7" i="56"/>
  <c r="T21" i="56"/>
  <c r="P8" i="56"/>
  <c r="P26" i="56"/>
  <c r="T18" i="56"/>
  <c r="T25" i="56"/>
  <c r="P15" i="56"/>
  <c r="P24" i="56"/>
  <c r="T14" i="56"/>
  <c r="T17" i="56"/>
  <c r="T23" i="56"/>
  <c r="T22" i="56"/>
  <c r="T24" i="56"/>
  <c r="T8" i="56"/>
  <c r="Y3" i="111"/>
  <c r="J3" i="111"/>
  <c r="T3" i="111"/>
  <c r="H3" i="111"/>
  <c r="A3" i="111"/>
  <c r="C4" i="111"/>
  <c r="B4" i="111" s="1"/>
  <c r="J4" i="111" s="1"/>
  <c r="I3" i="111"/>
  <c r="L2" i="111"/>
  <c r="M2" i="111" s="1"/>
  <c r="T7" i="56"/>
  <c r="U37" i="127"/>
  <c r="M2" i="133" l="1"/>
  <c r="T2" i="133" s="1"/>
  <c r="N2" i="133"/>
  <c r="L3" i="127"/>
  <c r="T2" i="129"/>
  <c r="T2" i="128"/>
  <c r="W37" i="127"/>
  <c r="T2" i="135"/>
  <c r="T2" i="131"/>
  <c r="Y6" i="135"/>
  <c r="B6" i="135"/>
  <c r="C7" i="135"/>
  <c r="A6" i="135"/>
  <c r="L4" i="135"/>
  <c r="I5" i="135"/>
  <c r="H5" i="135"/>
  <c r="J5" i="135"/>
  <c r="K5" i="135"/>
  <c r="M3" i="135"/>
  <c r="N3" i="135"/>
  <c r="P3" i="135"/>
  <c r="O3" i="135"/>
  <c r="I5" i="134"/>
  <c r="H5" i="134"/>
  <c r="K5" i="134"/>
  <c r="J5" i="134"/>
  <c r="L4" i="134"/>
  <c r="Y6" i="134"/>
  <c r="B6" i="134"/>
  <c r="C7" i="134"/>
  <c r="A6" i="134"/>
  <c r="P3" i="134"/>
  <c r="O3" i="134"/>
  <c r="N3" i="134"/>
  <c r="M3" i="134"/>
  <c r="M3" i="132"/>
  <c r="P3" i="132"/>
  <c r="K5" i="133"/>
  <c r="J5" i="133"/>
  <c r="I5" i="133"/>
  <c r="H5" i="133"/>
  <c r="L4" i="133"/>
  <c r="M3" i="133"/>
  <c r="P3" i="133"/>
  <c r="O3" i="133"/>
  <c r="N3" i="133"/>
  <c r="B6" i="133"/>
  <c r="C7" i="133"/>
  <c r="A6" i="133"/>
  <c r="Y6" i="133"/>
  <c r="N3" i="132"/>
  <c r="T3" i="132" s="1"/>
  <c r="T2" i="132"/>
  <c r="M4" i="130"/>
  <c r="T2" i="130"/>
  <c r="N4" i="130"/>
  <c r="L4" i="132"/>
  <c r="Y6" i="132"/>
  <c r="B6" i="132"/>
  <c r="C7" i="132"/>
  <c r="A6" i="132"/>
  <c r="I5" i="132"/>
  <c r="K5" i="132"/>
  <c r="J5" i="132"/>
  <c r="H5" i="132"/>
  <c r="L4" i="131"/>
  <c r="M3" i="131"/>
  <c r="O3" i="131"/>
  <c r="N3" i="131"/>
  <c r="P3" i="131"/>
  <c r="Y6" i="131"/>
  <c r="B6" i="131"/>
  <c r="C7" i="131"/>
  <c r="A6" i="131"/>
  <c r="H5" i="131"/>
  <c r="K5" i="131"/>
  <c r="J5" i="131"/>
  <c r="I5" i="131"/>
  <c r="M4" i="129"/>
  <c r="T3" i="130"/>
  <c r="C8" i="130"/>
  <c r="A7" i="130"/>
  <c r="Y7" i="130"/>
  <c r="B7" i="130"/>
  <c r="K6" i="130"/>
  <c r="I6" i="130"/>
  <c r="H6" i="130"/>
  <c r="J6" i="130"/>
  <c r="L5" i="130"/>
  <c r="N4" i="129"/>
  <c r="P4" i="129"/>
  <c r="N3" i="128"/>
  <c r="T2" i="127"/>
  <c r="T3" i="129"/>
  <c r="L5" i="129"/>
  <c r="B7" i="129"/>
  <c r="C8" i="129"/>
  <c r="A7" i="129"/>
  <c r="Y7" i="129"/>
  <c r="I6" i="129"/>
  <c r="K6" i="129"/>
  <c r="J6" i="129"/>
  <c r="H6" i="129"/>
  <c r="M3" i="128"/>
  <c r="O3" i="128"/>
  <c r="L4" i="128"/>
  <c r="T4" i="128" s="1"/>
  <c r="Y6" i="128"/>
  <c r="B6" i="128"/>
  <c r="C7" i="128"/>
  <c r="A6" i="128"/>
  <c r="I5" i="128"/>
  <c r="H5" i="128"/>
  <c r="K5" i="128"/>
  <c r="J5" i="128"/>
  <c r="K5" i="125"/>
  <c r="J5" i="125"/>
  <c r="K5" i="127"/>
  <c r="I5" i="127"/>
  <c r="J5" i="127"/>
  <c r="H5" i="127"/>
  <c r="P3" i="127"/>
  <c r="O3" i="127"/>
  <c r="N3" i="127"/>
  <c r="M3" i="127"/>
  <c r="B6" i="127"/>
  <c r="C7" i="127"/>
  <c r="A6" i="127"/>
  <c r="Y6" i="127"/>
  <c r="L4" i="127"/>
  <c r="H5" i="125"/>
  <c r="O3" i="125"/>
  <c r="M3" i="125"/>
  <c r="N3" i="125"/>
  <c r="L4" i="125"/>
  <c r="O4" i="125" s="1"/>
  <c r="I5" i="126"/>
  <c r="H5" i="126"/>
  <c r="K5" i="126"/>
  <c r="J5" i="126"/>
  <c r="P3" i="126"/>
  <c r="O3" i="126"/>
  <c r="N3" i="126"/>
  <c r="M3" i="126"/>
  <c r="L4" i="126"/>
  <c r="B6" i="126"/>
  <c r="C7" i="126"/>
  <c r="A6" i="126"/>
  <c r="Y6" i="126"/>
  <c r="P3" i="125"/>
  <c r="P4" i="124"/>
  <c r="M4" i="124"/>
  <c r="N4" i="124"/>
  <c r="B7" i="125"/>
  <c r="C8" i="125"/>
  <c r="A7" i="125"/>
  <c r="Y7" i="125"/>
  <c r="K6" i="125"/>
  <c r="H6" i="125"/>
  <c r="I6" i="125"/>
  <c r="J6" i="125"/>
  <c r="T3" i="124"/>
  <c r="L5" i="124"/>
  <c r="T5" i="124" s="1"/>
  <c r="K6" i="124"/>
  <c r="J6" i="124"/>
  <c r="I6" i="124"/>
  <c r="H6" i="124"/>
  <c r="C8" i="124"/>
  <c r="A7" i="124"/>
  <c r="B7" i="124"/>
  <c r="Y7" i="124"/>
  <c r="P33" i="56"/>
  <c r="T33" i="56"/>
  <c r="K4" i="111"/>
  <c r="H4" i="111"/>
  <c r="T4" i="111"/>
  <c r="A4" i="111"/>
  <c r="I4" i="111"/>
  <c r="Y4" i="111"/>
  <c r="C5" i="111"/>
  <c r="B5" i="111" s="1"/>
  <c r="I5" i="111" s="1"/>
  <c r="L3" i="111"/>
  <c r="O3" i="111" s="1"/>
  <c r="O2" i="111"/>
  <c r="N2" i="111"/>
  <c r="P2" i="111"/>
  <c r="U37" i="128"/>
  <c r="T3" i="125" l="1"/>
  <c r="T3" i="134"/>
  <c r="T3" i="126"/>
  <c r="W37" i="128"/>
  <c r="T3" i="135"/>
  <c r="L5" i="135"/>
  <c r="O4" i="135"/>
  <c r="P4" i="135"/>
  <c r="N4" i="135"/>
  <c r="M4" i="135"/>
  <c r="C8" i="135"/>
  <c r="A7" i="135"/>
  <c r="Y7" i="135"/>
  <c r="B7" i="135"/>
  <c r="K6" i="135"/>
  <c r="J6" i="135"/>
  <c r="I6" i="135"/>
  <c r="H6" i="135"/>
  <c r="L5" i="134"/>
  <c r="N5" i="134" s="1"/>
  <c r="M4" i="134"/>
  <c r="P4" i="134"/>
  <c r="O4" i="134"/>
  <c r="N4" i="134"/>
  <c r="C8" i="134"/>
  <c r="A7" i="134"/>
  <c r="Y7" i="134"/>
  <c r="B7" i="134"/>
  <c r="J6" i="134"/>
  <c r="H6" i="134"/>
  <c r="I6" i="134"/>
  <c r="K6" i="134"/>
  <c r="T3" i="133"/>
  <c r="A7" i="133"/>
  <c r="Y7" i="133"/>
  <c r="B7" i="133"/>
  <c r="C8" i="133"/>
  <c r="O4" i="133"/>
  <c r="M4" i="133"/>
  <c r="P4" i="133"/>
  <c r="N4" i="133"/>
  <c r="J6" i="133"/>
  <c r="I6" i="133"/>
  <c r="H6" i="133"/>
  <c r="K6" i="133"/>
  <c r="L5" i="133"/>
  <c r="T5" i="133" s="1"/>
  <c r="T4" i="130"/>
  <c r="Y7" i="132"/>
  <c r="B7" i="132"/>
  <c r="C8" i="132"/>
  <c r="A7" i="132"/>
  <c r="K6" i="132"/>
  <c r="J6" i="132"/>
  <c r="I6" i="132"/>
  <c r="H6" i="132"/>
  <c r="N4" i="132"/>
  <c r="M4" i="132"/>
  <c r="P4" i="132"/>
  <c r="O4" i="132"/>
  <c r="L5" i="132"/>
  <c r="P4" i="131"/>
  <c r="M4" i="131"/>
  <c r="N4" i="131"/>
  <c r="O4" i="131"/>
  <c r="T4" i="129"/>
  <c r="A7" i="131"/>
  <c r="Y7" i="131"/>
  <c r="B7" i="131"/>
  <c r="C8" i="131"/>
  <c r="I6" i="131"/>
  <c r="H6" i="131"/>
  <c r="K6" i="131"/>
  <c r="J6" i="131"/>
  <c r="L5" i="131"/>
  <c r="L6" i="130"/>
  <c r="T6" i="130" s="1"/>
  <c r="K7" i="130"/>
  <c r="J7" i="130"/>
  <c r="I7" i="130"/>
  <c r="H7" i="130"/>
  <c r="O5" i="130"/>
  <c r="N5" i="130"/>
  <c r="M5" i="130"/>
  <c r="P5" i="130"/>
  <c r="C9" i="130"/>
  <c r="A8" i="130"/>
  <c r="Y8" i="130"/>
  <c r="B8" i="130"/>
  <c r="O4" i="128"/>
  <c r="N4" i="128"/>
  <c r="P4" i="128"/>
  <c r="M4" i="128"/>
  <c r="L6" i="129"/>
  <c r="C9" i="129"/>
  <c r="A8" i="129"/>
  <c r="Y8" i="129"/>
  <c r="B8" i="129"/>
  <c r="K7" i="129"/>
  <c r="I7" i="129"/>
  <c r="H7" i="129"/>
  <c r="J7" i="129"/>
  <c r="O5" i="129"/>
  <c r="M5" i="129"/>
  <c r="P5" i="129"/>
  <c r="N5" i="129"/>
  <c r="L5" i="128"/>
  <c r="T3" i="128"/>
  <c r="P4" i="125"/>
  <c r="T3" i="127"/>
  <c r="C8" i="128"/>
  <c r="A7" i="128"/>
  <c r="Y7" i="128"/>
  <c r="B7" i="128"/>
  <c r="K6" i="128"/>
  <c r="I6" i="128"/>
  <c r="H6" i="128"/>
  <c r="J6" i="128"/>
  <c r="L5" i="125"/>
  <c r="N5" i="125" s="1"/>
  <c r="L5" i="127"/>
  <c r="O5" i="127" s="1"/>
  <c r="M4" i="125"/>
  <c r="M4" i="127"/>
  <c r="P4" i="127"/>
  <c r="O4" i="127"/>
  <c r="N4" i="127"/>
  <c r="Y7" i="127"/>
  <c r="B7" i="127"/>
  <c r="A7" i="127"/>
  <c r="C8" i="127"/>
  <c r="I6" i="127"/>
  <c r="H6" i="127"/>
  <c r="J6" i="127"/>
  <c r="K6" i="127"/>
  <c r="N4" i="125"/>
  <c r="Y7" i="126"/>
  <c r="B7" i="126"/>
  <c r="C8" i="126"/>
  <c r="A7" i="126"/>
  <c r="K6" i="126"/>
  <c r="J6" i="126"/>
  <c r="H6" i="126"/>
  <c r="I6" i="126"/>
  <c r="M4" i="126"/>
  <c r="P4" i="126"/>
  <c r="O4" i="126"/>
  <c r="N4" i="126"/>
  <c r="L5" i="126"/>
  <c r="L6" i="125"/>
  <c r="P6" i="125" s="1"/>
  <c r="T4" i="124"/>
  <c r="C9" i="125"/>
  <c r="A8" i="125"/>
  <c r="Y8" i="125"/>
  <c r="B8" i="125"/>
  <c r="K7" i="125"/>
  <c r="J7" i="125"/>
  <c r="I7" i="125"/>
  <c r="H7" i="125"/>
  <c r="L6" i="124"/>
  <c r="K7" i="124"/>
  <c r="J7" i="124"/>
  <c r="I7" i="124"/>
  <c r="H7" i="124"/>
  <c r="P5" i="124"/>
  <c r="O5" i="124"/>
  <c r="N5" i="124"/>
  <c r="M5" i="124"/>
  <c r="B8" i="124"/>
  <c r="C9" i="124"/>
  <c r="A8" i="124"/>
  <c r="Y8" i="124"/>
  <c r="S40" i="56"/>
  <c r="L4" i="111"/>
  <c r="P4" i="111" s="1"/>
  <c r="T5" i="111"/>
  <c r="J5" i="111"/>
  <c r="P3" i="111"/>
  <c r="M3" i="111"/>
  <c r="K5" i="111"/>
  <c r="A5" i="111"/>
  <c r="H5" i="111"/>
  <c r="Y5" i="111"/>
  <c r="N3" i="111"/>
  <c r="C6" i="111"/>
  <c r="Y6" i="111" s="1"/>
  <c r="U37" i="129"/>
  <c r="T4" i="131" l="1"/>
  <c r="W37" i="129"/>
  <c r="O5" i="134"/>
  <c r="T4" i="135"/>
  <c r="L6" i="135"/>
  <c r="N6" i="135" s="1"/>
  <c r="B8" i="135"/>
  <c r="C9" i="135"/>
  <c r="A8" i="135"/>
  <c r="Y8" i="135"/>
  <c r="K7" i="135"/>
  <c r="J7" i="135"/>
  <c r="I7" i="135"/>
  <c r="H7" i="135"/>
  <c r="P5" i="135"/>
  <c r="O5" i="135"/>
  <c r="M5" i="135"/>
  <c r="N5" i="135"/>
  <c r="P5" i="134"/>
  <c r="T4" i="134"/>
  <c r="M5" i="134"/>
  <c r="B8" i="134"/>
  <c r="C9" i="134"/>
  <c r="A8" i="134"/>
  <c r="Y8" i="134"/>
  <c r="L6" i="134"/>
  <c r="K7" i="134"/>
  <c r="J7" i="134"/>
  <c r="I7" i="134"/>
  <c r="H7" i="134"/>
  <c r="T4" i="133"/>
  <c r="L6" i="133"/>
  <c r="P5" i="133"/>
  <c r="O5" i="133"/>
  <c r="M5" i="133"/>
  <c r="N5" i="133"/>
  <c r="B8" i="133"/>
  <c r="C9" i="133"/>
  <c r="A8" i="133"/>
  <c r="Y8" i="133"/>
  <c r="I7" i="133"/>
  <c r="K7" i="133"/>
  <c r="J7" i="133"/>
  <c r="H7" i="133"/>
  <c r="T4" i="132"/>
  <c r="L6" i="132"/>
  <c r="P5" i="132"/>
  <c r="O5" i="132"/>
  <c r="N5" i="132"/>
  <c r="M5" i="132"/>
  <c r="B8" i="132"/>
  <c r="C9" i="132"/>
  <c r="A8" i="132"/>
  <c r="Y8" i="132"/>
  <c r="K7" i="132"/>
  <c r="H7" i="132"/>
  <c r="J7" i="132"/>
  <c r="I7" i="132"/>
  <c r="L6" i="131"/>
  <c r="M6" i="131" s="1"/>
  <c r="B8" i="131"/>
  <c r="C9" i="131"/>
  <c r="A8" i="131"/>
  <c r="Y8" i="131"/>
  <c r="K7" i="131"/>
  <c r="H7" i="131"/>
  <c r="J7" i="131"/>
  <c r="I7" i="131"/>
  <c r="P5" i="131"/>
  <c r="O5" i="131"/>
  <c r="N5" i="131"/>
  <c r="M5" i="131"/>
  <c r="T5" i="130"/>
  <c r="K8" i="130"/>
  <c r="J8" i="130"/>
  <c r="I8" i="130"/>
  <c r="H8" i="130"/>
  <c r="L7" i="130"/>
  <c r="M5" i="125"/>
  <c r="B9" i="130"/>
  <c r="C10" i="130"/>
  <c r="A9" i="130"/>
  <c r="Y9" i="130"/>
  <c r="P6" i="130"/>
  <c r="O6" i="130"/>
  <c r="N6" i="130"/>
  <c r="M6" i="130"/>
  <c r="T5" i="129"/>
  <c r="O5" i="125"/>
  <c r="L7" i="129"/>
  <c r="N5" i="128"/>
  <c r="K8" i="129"/>
  <c r="J8" i="129"/>
  <c r="I8" i="129"/>
  <c r="H8" i="129"/>
  <c r="M5" i="128"/>
  <c r="O5" i="128"/>
  <c r="C10" i="129"/>
  <c r="A9" i="129"/>
  <c r="Y9" i="129"/>
  <c r="B9" i="129"/>
  <c r="O6" i="129"/>
  <c r="N6" i="129"/>
  <c r="M6" i="129"/>
  <c r="P6" i="129"/>
  <c r="M5" i="127"/>
  <c r="P5" i="128"/>
  <c r="P5" i="127"/>
  <c r="N5" i="127"/>
  <c r="C9" i="128"/>
  <c r="A8" i="128"/>
  <c r="Y8" i="128"/>
  <c r="B8" i="128"/>
  <c r="L6" i="128"/>
  <c r="K7" i="128"/>
  <c r="J7" i="128"/>
  <c r="I7" i="128"/>
  <c r="H7" i="128"/>
  <c r="P5" i="125"/>
  <c r="T4" i="125"/>
  <c r="T4" i="127"/>
  <c r="K7" i="127"/>
  <c r="J7" i="127"/>
  <c r="H7" i="127"/>
  <c r="I7" i="127"/>
  <c r="L6" i="127"/>
  <c r="T6" i="127" s="1"/>
  <c r="B8" i="127"/>
  <c r="C9" i="127"/>
  <c r="A8" i="127"/>
  <c r="Y8" i="127"/>
  <c r="T4" i="126"/>
  <c r="O5" i="126"/>
  <c r="N5" i="126"/>
  <c r="M5" i="126"/>
  <c r="P5" i="126"/>
  <c r="B8" i="126"/>
  <c r="C9" i="126"/>
  <c r="A8" i="126"/>
  <c r="Y8" i="126"/>
  <c r="J7" i="126"/>
  <c r="K7" i="126"/>
  <c r="I7" i="126"/>
  <c r="H7" i="126"/>
  <c r="O6" i="125"/>
  <c r="L6" i="126"/>
  <c r="M6" i="125"/>
  <c r="N6" i="125"/>
  <c r="L7" i="125"/>
  <c r="M7" i="125" s="1"/>
  <c r="K8" i="125"/>
  <c r="J8" i="125"/>
  <c r="H8" i="125"/>
  <c r="I8" i="125"/>
  <c r="B9" i="125"/>
  <c r="C10" i="125"/>
  <c r="A9" i="125"/>
  <c r="Y9" i="125"/>
  <c r="B9" i="124"/>
  <c r="C10" i="124"/>
  <c r="A9" i="124"/>
  <c r="Y9" i="124"/>
  <c r="L7" i="124"/>
  <c r="I8" i="124"/>
  <c r="H8" i="124"/>
  <c r="K8" i="124"/>
  <c r="J8" i="124"/>
  <c r="M6" i="124"/>
  <c r="P6" i="124"/>
  <c r="O6" i="124"/>
  <c r="N6" i="124"/>
  <c r="M4" i="111"/>
  <c r="O4" i="111"/>
  <c r="N4" i="111"/>
  <c r="L5" i="111"/>
  <c r="P5" i="111" s="1"/>
  <c r="C7" i="111"/>
  <c r="C8" i="111" s="1"/>
  <c r="A8" i="111" s="1"/>
  <c r="A6" i="111"/>
  <c r="B6" i="111"/>
  <c r="J6" i="111" s="1"/>
  <c r="U37" i="130"/>
  <c r="T5" i="126" l="1"/>
  <c r="T5" i="128"/>
  <c r="T6" i="124"/>
  <c r="W37" i="130"/>
  <c r="O6" i="135"/>
  <c r="M6" i="135"/>
  <c r="P6" i="135"/>
  <c r="T5" i="134"/>
  <c r="T5" i="135"/>
  <c r="L7" i="135"/>
  <c r="T7" i="135" s="1"/>
  <c r="Y9" i="135"/>
  <c r="B9" i="135"/>
  <c r="C10" i="135"/>
  <c r="A9" i="135"/>
  <c r="K8" i="135"/>
  <c r="H8" i="135"/>
  <c r="J8" i="135"/>
  <c r="I8" i="135"/>
  <c r="L7" i="134"/>
  <c r="O7" i="134" s="1"/>
  <c r="N6" i="133"/>
  <c r="P6" i="133"/>
  <c r="O6" i="133"/>
  <c r="P6" i="134"/>
  <c r="O6" i="134"/>
  <c r="N6" i="134"/>
  <c r="M6" i="134"/>
  <c r="B9" i="134"/>
  <c r="C10" i="134"/>
  <c r="A9" i="134"/>
  <c r="Y9" i="134"/>
  <c r="M6" i="133"/>
  <c r="K8" i="134"/>
  <c r="J8" i="134"/>
  <c r="I8" i="134"/>
  <c r="H8" i="134"/>
  <c r="T5" i="132"/>
  <c r="L7" i="132"/>
  <c r="T7" i="132" s="1"/>
  <c r="C10" i="133"/>
  <c r="B9" i="133"/>
  <c r="A9" i="133"/>
  <c r="Y9" i="133"/>
  <c r="L7" i="133"/>
  <c r="K8" i="133"/>
  <c r="J8" i="133"/>
  <c r="I8" i="133"/>
  <c r="H8" i="133"/>
  <c r="T5" i="125"/>
  <c r="B9" i="132"/>
  <c r="C10" i="132"/>
  <c r="A9" i="132"/>
  <c r="Y9" i="132"/>
  <c r="K8" i="132"/>
  <c r="J8" i="132"/>
  <c r="I8" i="132"/>
  <c r="H8" i="132"/>
  <c r="P6" i="132"/>
  <c r="O6" i="132"/>
  <c r="N6" i="132"/>
  <c r="M6" i="132"/>
  <c r="N6" i="131"/>
  <c r="P6" i="131"/>
  <c r="O6" i="131"/>
  <c r="T5" i="131"/>
  <c r="B9" i="131"/>
  <c r="C10" i="131"/>
  <c r="A9" i="131"/>
  <c r="Y9" i="131"/>
  <c r="L7" i="131"/>
  <c r="J8" i="131"/>
  <c r="K8" i="131"/>
  <c r="I8" i="131"/>
  <c r="H8" i="131"/>
  <c r="T6" i="129"/>
  <c r="I9" i="130"/>
  <c r="K9" i="130"/>
  <c r="J9" i="130"/>
  <c r="H9" i="130"/>
  <c r="M7" i="130"/>
  <c r="P7" i="130"/>
  <c r="O7" i="130"/>
  <c r="N7" i="130"/>
  <c r="L8" i="130"/>
  <c r="B10" i="130"/>
  <c r="C11" i="130"/>
  <c r="A10" i="130"/>
  <c r="Y10" i="130"/>
  <c r="T5" i="127"/>
  <c r="L8" i="129"/>
  <c r="T8" i="129" s="1"/>
  <c r="I9" i="129"/>
  <c r="K9" i="129"/>
  <c r="J9" i="129"/>
  <c r="H9" i="129"/>
  <c r="B10" i="129"/>
  <c r="C11" i="129"/>
  <c r="A10" i="129"/>
  <c r="Y10" i="129"/>
  <c r="P7" i="129"/>
  <c r="O7" i="129"/>
  <c r="N7" i="129"/>
  <c r="M7" i="129"/>
  <c r="N6" i="128"/>
  <c r="P6" i="128"/>
  <c r="O6" i="128"/>
  <c r="M6" i="128"/>
  <c r="K8" i="128"/>
  <c r="J8" i="128"/>
  <c r="I8" i="128"/>
  <c r="H8" i="128"/>
  <c r="B9" i="128"/>
  <c r="C10" i="128"/>
  <c r="A9" i="128"/>
  <c r="Y9" i="128"/>
  <c r="L7" i="128"/>
  <c r="P6" i="127"/>
  <c r="N6" i="127"/>
  <c r="M6" i="127"/>
  <c r="O6" i="127"/>
  <c r="L7" i="127"/>
  <c r="B9" i="127"/>
  <c r="C10" i="127"/>
  <c r="Y9" i="127"/>
  <c r="A9" i="127"/>
  <c r="J8" i="127"/>
  <c r="I8" i="127"/>
  <c r="K8" i="127"/>
  <c r="H8" i="127"/>
  <c r="O7" i="125"/>
  <c r="N7" i="125"/>
  <c r="O6" i="126"/>
  <c r="N6" i="126"/>
  <c r="M6" i="126"/>
  <c r="P6" i="126"/>
  <c r="B9" i="126"/>
  <c r="C10" i="126"/>
  <c r="A9" i="126"/>
  <c r="Y9" i="126"/>
  <c r="L7" i="126"/>
  <c r="K8" i="126"/>
  <c r="J8" i="126"/>
  <c r="I8" i="126"/>
  <c r="H8" i="126"/>
  <c r="T6" i="125"/>
  <c r="P7" i="125"/>
  <c r="I9" i="125"/>
  <c r="J9" i="125"/>
  <c r="H9" i="125"/>
  <c r="K9" i="125"/>
  <c r="L8" i="125"/>
  <c r="B10" i="125"/>
  <c r="Y10" i="125"/>
  <c r="A10" i="125"/>
  <c r="C11" i="125"/>
  <c r="L8" i="124"/>
  <c r="M8" i="124" s="1"/>
  <c r="M7" i="124"/>
  <c r="O7" i="124"/>
  <c r="P7" i="124"/>
  <c r="N7" i="124"/>
  <c r="Y10" i="124"/>
  <c r="A10" i="124"/>
  <c r="B10" i="124"/>
  <c r="C11" i="124"/>
  <c r="I9" i="124"/>
  <c r="J9" i="124"/>
  <c r="H9" i="124"/>
  <c r="K9" i="124"/>
  <c r="Y7" i="111"/>
  <c r="M5" i="111"/>
  <c r="N5" i="111"/>
  <c r="O5" i="111"/>
  <c r="Y8" i="111"/>
  <c r="I6" i="111"/>
  <c r="K6" i="111"/>
  <c r="H6" i="111"/>
  <c r="T6" i="111"/>
  <c r="B7" i="111"/>
  <c r="T7" i="111" s="1"/>
  <c r="C9" i="111"/>
  <c r="A9" i="111" s="1"/>
  <c r="A7" i="111"/>
  <c r="B8" i="111"/>
  <c r="K8" i="111" s="1"/>
  <c r="U37" i="131"/>
  <c r="T7" i="124" l="1"/>
  <c r="T6" i="133"/>
  <c r="T7" i="130"/>
  <c r="W37" i="131"/>
  <c r="T6" i="135"/>
  <c r="M7" i="134"/>
  <c r="N7" i="134"/>
  <c r="T6" i="134"/>
  <c r="L8" i="135"/>
  <c r="P7" i="134"/>
  <c r="Y10" i="135"/>
  <c r="B10" i="135"/>
  <c r="C11" i="135"/>
  <c r="A10" i="135"/>
  <c r="I9" i="135"/>
  <c r="J9" i="135"/>
  <c r="H9" i="135"/>
  <c r="K9" i="135"/>
  <c r="M7" i="135"/>
  <c r="N7" i="135"/>
  <c r="P7" i="135"/>
  <c r="O7" i="135"/>
  <c r="Y10" i="134"/>
  <c r="B10" i="134"/>
  <c r="C11" i="134"/>
  <c r="A10" i="134"/>
  <c r="L8" i="134"/>
  <c r="H9" i="134"/>
  <c r="K9" i="134"/>
  <c r="J9" i="134"/>
  <c r="I9" i="134"/>
  <c r="O7" i="132"/>
  <c r="P7" i="132"/>
  <c r="P7" i="133"/>
  <c r="O7" i="133"/>
  <c r="N7" i="133"/>
  <c r="M7" i="133"/>
  <c r="M7" i="132"/>
  <c r="I9" i="133"/>
  <c r="K9" i="133"/>
  <c r="J9" i="133"/>
  <c r="H9" i="133"/>
  <c r="L8" i="133"/>
  <c r="Y10" i="133"/>
  <c r="B10" i="133"/>
  <c r="C11" i="133"/>
  <c r="A10" i="133"/>
  <c r="N7" i="132"/>
  <c r="T6" i="132"/>
  <c r="L8" i="132"/>
  <c r="T6" i="131"/>
  <c r="Y10" i="132"/>
  <c r="B10" i="132"/>
  <c r="C11" i="132"/>
  <c r="A10" i="132"/>
  <c r="I9" i="132"/>
  <c r="H9" i="132"/>
  <c r="K9" i="132"/>
  <c r="J9" i="132"/>
  <c r="P7" i="131"/>
  <c r="O7" i="131"/>
  <c r="N7" i="131"/>
  <c r="M7" i="131"/>
  <c r="B10" i="131"/>
  <c r="C11" i="131"/>
  <c r="A10" i="131"/>
  <c r="Y10" i="131"/>
  <c r="L8" i="131"/>
  <c r="I9" i="131"/>
  <c r="K9" i="131"/>
  <c r="J9" i="131"/>
  <c r="H9" i="131"/>
  <c r="C12" i="130"/>
  <c r="A11" i="130"/>
  <c r="Y11" i="130"/>
  <c r="B11" i="130"/>
  <c r="K10" i="130"/>
  <c r="I10" i="130"/>
  <c r="H10" i="130"/>
  <c r="J10" i="130"/>
  <c r="O8" i="130"/>
  <c r="M8" i="130"/>
  <c r="N8" i="130"/>
  <c r="P8" i="130"/>
  <c r="L9" i="130"/>
  <c r="T7" i="129"/>
  <c r="K10" i="129"/>
  <c r="I10" i="129"/>
  <c r="J10" i="129"/>
  <c r="H10" i="129"/>
  <c r="L9" i="129"/>
  <c r="M8" i="129"/>
  <c r="P8" i="129"/>
  <c r="O8" i="129"/>
  <c r="N8" i="129"/>
  <c r="C12" i="129"/>
  <c r="B11" i="129"/>
  <c r="A11" i="129"/>
  <c r="Y11" i="129"/>
  <c r="T6" i="128"/>
  <c r="L8" i="128"/>
  <c r="M7" i="128"/>
  <c r="P7" i="128"/>
  <c r="O7" i="128"/>
  <c r="N7" i="128"/>
  <c r="Y10" i="128"/>
  <c r="B10" i="128"/>
  <c r="C11" i="128"/>
  <c r="A10" i="128"/>
  <c r="H9" i="128"/>
  <c r="K9" i="128"/>
  <c r="J9" i="128"/>
  <c r="I9" i="128"/>
  <c r="T7" i="125"/>
  <c r="Y10" i="127"/>
  <c r="B10" i="127"/>
  <c r="C11" i="127"/>
  <c r="A10" i="127"/>
  <c r="H9" i="127"/>
  <c r="K9" i="127"/>
  <c r="I9" i="127"/>
  <c r="J9" i="127"/>
  <c r="P7" i="127"/>
  <c r="O7" i="127"/>
  <c r="N7" i="127"/>
  <c r="M7" i="127"/>
  <c r="L8" i="127"/>
  <c r="T6" i="126"/>
  <c r="P7" i="126"/>
  <c r="O7" i="126"/>
  <c r="N7" i="126"/>
  <c r="M7" i="126"/>
  <c r="L8" i="126"/>
  <c r="Y10" i="126"/>
  <c r="B10" i="126"/>
  <c r="C11" i="126"/>
  <c r="A10" i="126"/>
  <c r="I9" i="126"/>
  <c r="K9" i="126"/>
  <c r="J9" i="126"/>
  <c r="H9" i="126"/>
  <c r="N8" i="124"/>
  <c r="L9" i="125"/>
  <c r="T9" i="125" s="1"/>
  <c r="K10" i="125"/>
  <c r="J10" i="125"/>
  <c r="I10" i="125"/>
  <c r="H10" i="125"/>
  <c r="N8" i="125"/>
  <c r="M8" i="125"/>
  <c r="P8" i="125"/>
  <c r="O8" i="125"/>
  <c r="O8" i="124"/>
  <c r="C12" i="125"/>
  <c r="A11" i="125"/>
  <c r="Y11" i="125"/>
  <c r="B11" i="125"/>
  <c r="P8" i="124"/>
  <c r="L9" i="124"/>
  <c r="C12" i="124"/>
  <c r="A11" i="124"/>
  <c r="Y11" i="124"/>
  <c r="B11" i="124"/>
  <c r="K10" i="124"/>
  <c r="I10" i="124"/>
  <c r="J10" i="124"/>
  <c r="H10" i="124"/>
  <c r="T8" i="111"/>
  <c r="H8" i="111"/>
  <c r="I8" i="111"/>
  <c r="J8" i="111"/>
  <c r="C10" i="111"/>
  <c r="B10" i="111" s="1"/>
  <c r="B9" i="111"/>
  <c r="K9" i="111" s="1"/>
  <c r="Y9" i="111"/>
  <c r="K7" i="111"/>
  <c r="L6" i="111"/>
  <c r="N6" i="111" s="1"/>
  <c r="I7" i="111"/>
  <c r="J7" i="111"/>
  <c r="H7" i="111"/>
  <c r="U37" i="132"/>
  <c r="T7" i="127" l="1"/>
  <c r="W37" i="132"/>
  <c r="T7" i="134"/>
  <c r="M8" i="135"/>
  <c r="O8" i="135"/>
  <c r="L9" i="135"/>
  <c r="P8" i="135"/>
  <c r="N8" i="135"/>
  <c r="C12" i="135"/>
  <c r="A11" i="135"/>
  <c r="Y11" i="135"/>
  <c r="B11" i="135"/>
  <c r="K10" i="135"/>
  <c r="J10" i="135"/>
  <c r="I10" i="135"/>
  <c r="H10" i="135"/>
  <c r="O8" i="134"/>
  <c r="M8" i="134"/>
  <c r="P8" i="134"/>
  <c r="N8" i="134"/>
  <c r="C12" i="134"/>
  <c r="A11" i="134"/>
  <c r="Y11" i="134"/>
  <c r="B11" i="134"/>
  <c r="L9" i="134"/>
  <c r="T9" i="134" s="1"/>
  <c r="K10" i="134"/>
  <c r="J10" i="134"/>
  <c r="I10" i="134"/>
  <c r="H10" i="134"/>
  <c r="T7" i="133"/>
  <c r="A11" i="133"/>
  <c r="Y11" i="133"/>
  <c r="B11" i="133"/>
  <c r="C12" i="133"/>
  <c r="L9" i="133"/>
  <c r="K10" i="133"/>
  <c r="J10" i="133"/>
  <c r="I10" i="133"/>
  <c r="H10" i="133"/>
  <c r="N8" i="133"/>
  <c r="M8" i="133"/>
  <c r="P8" i="133"/>
  <c r="O8" i="133"/>
  <c r="T7" i="131"/>
  <c r="L9" i="132"/>
  <c r="C12" i="132"/>
  <c r="A11" i="132"/>
  <c r="Y11" i="132"/>
  <c r="B11" i="132"/>
  <c r="K10" i="132"/>
  <c r="I10" i="132"/>
  <c r="H10" i="132"/>
  <c r="J10" i="132"/>
  <c r="N8" i="132"/>
  <c r="M8" i="132"/>
  <c r="P8" i="132"/>
  <c r="O8" i="132"/>
  <c r="L9" i="131"/>
  <c r="P9" i="131" s="1"/>
  <c r="C12" i="131"/>
  <c r="A11" i="131"/>
  <c r="Y11" i="131"/>
  <c r="B11" i="131"/>
  <c r="K10" i="131"/>
  <c r="J10" i="131"/>
  <c r="I10" i="131"/>
  <c r="H10" i="131"/>
  <c r="N8" i="131"/>
  <c r="M8" i="131"/>
  <c r="P8" i="131"/>
  <c r="O8" i="131"/>
  <c r="L10" i="130"/>
  <c r="P10" i="130" s="1"/>
  <c r="T8" i="130"/>
  <c r="O9" i="130"/>
  <c r="N9" i="130"/>
  <c r="M9" i="130"/>
  <c r="P9" i="130"/>
  <c r="K11" i="130"/>
  <c r="J11" i="130"/>
  <c r="I11" i="130"/>
  <c r="H11" i="130"/>
  <c r="C13" i="130"/>
  <c r="A12" i="130"/>
  <c r="Y12" i="130"/>
  <c r="B12" i="130"/>
  <c r="O9" i="129"/>
  <c r="M9" i="129"/>
  <c r="P9" i="129"/>
  <c r="N9" i="129"/>
  <c r="K11" i="129"/>
  <c r="I11" i="129"/>
  <c r="H11" i="129"/>
  <c r="J11" i="129"/>
  <c r="C13" i="129"/>
  <c r="A12" i="129"/>
  <c r="Y12" i="129"/>
  <c r="B12" i="129"/>
  <c r="L10" i="129"/>
  <c r="T7" i="128"/>
  <c r="C12" i="128"/>
  <c r="A11" i="128"/>
  <c r="Y11" i="128"/>
  <c r="B11" i="128"/>
  <c r="I10" i="128"/>
  <c r="H10" i="128"/>
  <c r="K10" i="128"/>
  <c r="J10" i="128"/>
  <c r="L9" i="128"/>
  <c r="O8" i="128"/>
  <c r="N8" i="128"/>
  <c r="M8" i="128"/>
  <c r="P8" i="128"/>
  <c r="L9" i="127"/>
  <c r="N8" i="127"/>
  <c r="M8" i="127"/>
  <c r="O8" i="127"/>
  <c r="P8" i="127"/>
  <c r="Y11" i="127"/>
  <c r="B11" i="127"/>
  <c r="A11" i="127"/>
  <c r="C12" i="127"/>
  <c r="J10" i="127"/>
  <c r="I10" i="127"/>
  <c r="H10" i="127"/>
  <c r="K10" i="127"/>
  <c r="T7" i="126"/>
  <c r="N9" i="125"/>
  <c r="M9" i="125"/>
  <c r="O9" i="125"/>
  <c r="L9" i="126"/>
  <c r="T9" i="126" s="1"/>
  <c r="P9" i="125"/>
  <c r="A11" i="126"/>
  <c r="Y11" i="126"/>
  <c r="B11" i="126"/>
  <c r="C12" i="126"/>
  <c r="T8" i="124"/>
  <c r="K10" i="126"/>
  <c r="J10" i="126"/>
  <c r="I10" i="126"/>
  <c r="H10" i="126"/>
  <c r="N8" i="126"/>
  <c r="M8" i="126"/>
  <c r="P8" i="126"/>
  <c r="O8" i="126"/>
  <c r="T8" i="125"/>
  <c r="B12" i="125"/>
  <c r="C13" i="125"/>
  <c r="A12" i="125"/>
  <c r="Y12" i="125"/>
  <c r="L10" i="125"/>
  <c r="K11" i="125"/>
  <c r="J11" i="125"/>
  <c r="I11" i="125"/>
  <c r="H11" i="125"/>
  <c r="L10" i="124"/>
  <c r="K11" i="124"/>
  <c r="J11" i="124"/>
  <c r="I11" i="124"/>
  <c r="H11" i="124"/>
  <c r="A12" i="124"/>
  <c r="B12" i="124"/>
  <c r="C13" i="124"/>
  <c r="Y12" i="124"/>
  <c r="P9" i="124"/>
  <c r="O9" i="124"/>
  <c r="N9" i="124"/>
  <c r="M9" i="124"/>
  <c r="L8" i="111"/>
  <c r="P8" i="111" s="1"/>
  <c r="C11" i="111"/>
  <c r="B11" i="111" s="1"/>
  <c r="A10" i="111"/>
  <c r="Y10" i="111"/>
  <c r="T9" i="111"/>
  <c r="I9" i="111"/>
  <c r="H9" i="111"/>
  <c r="J9" i="111"/>
  <c r="P6" i="111"/>
  <c r="O6" i="111"/>
  <c r="M6" i="111"/>
  <c r="L7" i="111"/>
  <c r="N7" i="111" s="1"/>
  <c r="H10" i="111"/>
  <c r="I10" i="111"/>
  <c r="T10" i="111"/>
  <c r="J10" i="111"/>
  <c r="K10" i="111"/>
  <c r="U37" i="133"/>
  <c r="T9" i="129" l="1"/>
  <c r="T8" i="132"/>
  <c r="T8" i="135"/>
  <c r="W37" i="133"/>
  <c r="N9" i="135"/>
  <c r="O9" i="135"/>
  <c r="P9" i="135"/>
  <c r="M9" i="135"/>
  <c r="T8" i="134"/>
  <c r="K11" i="135"/>
  <c r="J11" i="135"/>
  <c r="I11" i="135"/>
  <c r="H11" i="135"/>
  <c r="B12" i="135"/>
  <c r="C13" i="135"/>
  <c r="A12" i="135"/>
  <c r="Y12" i="135"/>
  <c r="L10" i="135"/>
  <c r="K11" i="134"/>
  <c r="I11" i="134"/>
  <c r="H11" i="134"/>
  <c r="J11" i="134"/>
  <c r="L10" i="134"/>
  <c r="B12" i="134"/>
  <c r="C13" i="134"/>
  <c r="A12" i="134"/>
  <c r="Y12" i="134"/>
  <c r="N9" i="134"/>
  <c r="O9" i="134"/>
  <c r="M9" i="134"/>
  <c r="P9" i="134"/>
  <c r="T8" i="133"/>
  <c r="O9" i="133"/>
  <c r="M9" i="133"/>
  <c r="N9" i="133"/>
  <c r="P9" i="133"/>
  <c r="B12" i="133"/>
  <c r="C13" i="133"/>
  <c r="A12" i="133"/>
  <c r="Y12" i="133"/>
  <c r="K11" i="133"/>
  <c r="J11" i="133"/>
  <c r="I11" i="133"/>
  <c r="H11" i="133"/>
  <c r="L10" i="133"/>
  <c r="M9" i="131"/>
  <c r="M10" i="130"/>
  <c r="K11" i="132"/>
  <c r="J11" i="132"/>
  <c r="I11" i="132"/>
  <c r="H11" i="132"/>
  <c r="B12" i="132"/>
  <c r="C13" i="132"/>
  <c r="A12" i="132"/>
  <c r="Y12" i="132"/>
  <c r="P9" i="132"/>
  <c r="O9" i="132"/>
  <c r="N9" i="132"/>
  <c r="M9" i="132"/>
  <c r="L10" i="132"/>
  <c r="N9" i="131"/>
  <c r="O9" i="131"/>
  <c r="T8" i="131"/>
  <c r="N10" i="130"/>
  <c r="L10" i="131"/>
  <c r="T10" i="131" s="1"/>
  <c r="O10" i="130"/>
  <c r="K11" i="131"/>
  <c r="J11" i="131"/>
  <c r="I11" i="131"/>
  <c r="H11" i="131"/>
  <c r="B12" i="131"/>
  <c r="C13" i="131"/>
  <c r="A12" i="131"/>
  <c r="Y12" i="131"/>
  <c r="L11" i="130"/>
  <c r="M11" i="130" s="1"/>
  <c r="T9" i="130"/>
  <c r="B13" i="130"/>
  <c r="C14" i="130"/>
  <c r="A13" i="130"/>
  <c r="Y13" i="130"/>
  <c r="K12" i="130"/>
  <c r="J12" i="130"/>
  <c r="I12" i="130"/>
  <c r="H12" i="130"/>
  <c r="L11" i="129"/>
  <c r="O11" i="129" s="1"/>
  <c r="O10" i="129"/>
  <c r="N10" i="129"/>
  <c r="M10" i="129"/>
  <c r="P10" i="129"/>
  <c r="K12" i="129"/>
  <c r="J12" i="129"/>
  <c r="I12" i="129"/>
  <c r="H12" i="129"/>
  <c r="C14" i="129"/>
  <c r="A13" i="129"/>
  <c r="Y13" i="129"/>
  <c r="B13" i="129"/>
  <c r="T8" i="128"/>
  <c r="L10" i="128"/>
  <c r="K11" i="128"/>
  <c r="J11" i="128"/>
  <c r="H11" i="128"/>
  <c r="I11" i="128"/>
  <c r="P9" i="128"/>
  <c r="O9" i="128"/>
  <c r="N9" i="128"/>
  <c r="M9" i="128"/>
  <c r="C13" i="128"/>
  <c r="A12" i="128"/>
  <c r="Y12" i="128"/>
  <c r="B12" i="128"/>
  <c r="N9" i="126"/>
  <c r="P9" i="126"/>
  <c r="L10" i="127"/>
  <c r="P10" i="127" s="1"/>
  <c r="T8" i="127"/>
  <c r="K11" i="127"/>
  <c r="J11" i="127"/>
  <c r="H11" i="127"/>
  <c r="I11" i="127"/>
  <c r="M9" i="126"/>
  <c r="B12" i="127"/>
  <c r="C13" i="127"/>
  <c r="A12" i="127"/>
  <c r="Y12" i="127"/>
  <c r="P9" i="127"/>
  <c r="O9" i="127"/>
  <c r="N9" i="127"/>
  <c r="M9" i="127"/>
  <c r="O9" i="126"/>
  <c r="T8" i="126"/>
  <c r="B12" i="126"/>
  <c r="C13" i="126"/>
  <c r="A12" i="126"/>
  <c r="Y12" i="126"/>
  <c r="K11" i="126"/>
  <c r="J11" i="126"/>
  <c r="I11" i="126"/>
  <c r="H11" i="126"/>
  <c r="L10" i="126"/>
  <c r="P10" i="125"/>
  <c r="O10" i="125"/>
  <c r="N10" i="125"/>
  <c r="M10" i="125"/>
  <c r="C14" i="125"/>
  <c r="A13" i="125"/>
  <c r="Y13" i="125"/>
  <c r="B13" i="125"/>
  <c r="L11" i="125"/>
  <c r="K12" i="125"/>
  <c r="J12" i="125"/>
  <c r="H12" i="125"/>
  <c r="I12" i="125"/>
  <c r="T9" i="124"/>
  <c r="L11" i="124"/>
  <c r="N11" i="124" s="1"/>
  <c r="I12" i="124"/>
  <c r="H12" i="124"/>
  <c r="K12" i="124"/>
  <c r="J12" i="124"/>
  <c r="Y13" i="124"/>
  <c r="B13" i="124"/>
  <c r="C14" i="124"/>
  <c r="A13" i="124"/>
  <c r="P10" i="124"/>
  <c r="M10" i="124"/>
  <c r="O10" i="124"/>
  <c r="N10" i="124"/>
  <c r="C12" i="111"/>
  <c r="Y12" i="111" s="1"/>
  <c r="Y11" i="111"/>
  <c r="M8" i="111"/>
  <c r="A11" i="111"/>
  <c r="O8" i="111"/>
  <c r="N8" i="111"/>
  <c r="L9" i="111"/>
  <c r="M9" i="111" s="1"/>
  <c r="M7" i="111"/>
  <c r="O7" i="111"/>
  <c r="P7" i="111"/>
  <c r="L10" i="111"/>
  <c r="J11" i="111"/>
  <c r="K11" i="111"/>
  <c r="I11" i="111"/>
  <c r="H11" i="111"/>
  <c r="T11" i="111"/>
  <c r="U37" i="134"/>
  <c r="T9" i="135" l="1"/>
  <c r="T10" i="125"/>
  <c r="W37" i="134"/>
  <c r="L11" i="135"/>
  <c r="N11" i="135" s="1"/>
  <c r="Y13" i="135"/>
  <c r="B13" i="135"/>
  <c r="C14" i="135"/>
  <c r="A13" i="135"/>
  <c r="H12" i="135"/>
  <c r="K12" i="135"/>
  <c r="J12" i="135"/>
  <c r="I12" i="135"/>
  <c r="P10" i="135"/>
  <c r="O10" i="135"/>
  <c r="N10" i="135"/>
  <c r="M10" i="135"/>
  <c r="B13" i="134"/>
  <c r="C14" i="134"/>
  <c r="A13" i="134"/>
  <c r="Y13" i="134"/>
  <c r="K12" i="134"/>
  <c r="J12" i="134"/>
  <c r="I12" i="134"/>
  <c r="H12" i="134"/>
  <c r="P10" i="134"/>
  <c r="O10" i="134"/>
  <c r="N10" i="134"/>
  <c r="M10" i="134"/>
  <c r="L11" i="134"/>
  <c r="T9" i="133"/>
  <c r="O10" i="133"/>
  <c r="P10" i="133"/>
  <c r="N10" i="133"/>
  <c r="M10" i="133"/>
  <c r="C14" i="133"/>
  <c r="B13" i="133"/>
  <c r="A13" i="133"/>
  <c r="Y13" i="133"/>
  <c r="K12" i="133"/>
  <c r="J12" i="133"/>
  <c r="I12" i="133"/>
  <c r="H12" i="133"/>
  <c r="T9" i="132"/>
  <c r="L11" i="133"/>
  <c r="L11" i="132"/>
  <c r="M11" i="132" s="1"/>
  <c r="T9" i="131"/>
  <c r="B13" i="132"/>
  <c r="C14" i="132"/>
  <c r="A13" i="132"/>
  <c r="Y13" i="132"/>
  <c r="P10" i="132"/>
  <c r="O10" i="132"/>
  <c r="N10" i="132"/>
  <c r="M10" i="132"/>
  <c r="J12" i="132"/>
  <c r="K12" i="132"/>
  <c r="I12" i="132"/>
  <c r="H12" i="132"/>
  <c r="O11" i="130"/>
  <c r="T10" i="130"/>
  <c r="N11" i="130"/>
  <c r="L11" i="131"/>
  <c r="P11" i="130"/>
  <c r="B13" i="131"/>
  <c r="C14" i="131"/>
  <c r="A13" i="131"/>
  <c r="Y13" i="131"/>
  <c r="K12" i="131"/>
  <c r="J12" i="131"/>
  <c r="I12" i="131"/>
  <c r="H12" i="131"/>
  <c r="N10" i="131"/>
  <c r="P10" i="131"/>
  <c r="O10" i="131"/>
  <c r="M10" i="131"/>
  <c r="N11" i="129"/>
  <c r="P11" i="129"/>
  <c r="L12" i="130"/>
  <c r="O12" i="130" s="1"/>
  <c r="M11" i="129"/>
  <c r="B14" i="130"/>
  <c r="C15" i="130"/>
  <c r="A14" i="130"/>
  <c r="Y14" i="130"/>
  <c r="I13" i="130"/>
  <c r="K13" i="130"/>
  <c r="H13" i="130"/>
  <c r="J13" i="130"/>
  <c r="L12" i="129"/>
  <c r="N12" i="129" s="1"/>
  <c r="T10" i="129"/>
  <c r="B14" i="129"/>
  <c r="C15" i="129"/>
  <c r="A14" i="129"/>
  <c r="Y14" i="129"/>
  <c r="T9" i="128"/>
  <c r="K13" i="129"/>
  <c r="J13" i="129"/>
  <c r="I13" i="129"/>
  <c r="H13" i="129"/>
  <c r="N10" i="127"/>
  <c r="L11" i="128"/>
  <c r="T11" i="128" s="1"/>
  <c r="J12" i="128"/>
  <c r="K12" i="128"/>
  <c r="I12" i="128"/>
  <c r="H12" i="128"/>
  <c r="B13" i="128"/>
  <c r="C14" i="128"/>
  <c r="A13" i="128"/>
  <c r="Y13" i="128"/>
  <c r="P10" i="128"/>
  <c r="O10" i="128"/>
  <c r="N10" i="128"/>
  <c r="M10" i="128"/>
  <c r="O10" i="127"/>
  <c r="M10" i="127"/>
  <c r="L11" i="127"/>
  <c r="P11" i="127" s="1"/>
  <c r="T9" i="127"/>
  <c r="B13" i="127"/>
  <c r="C14" i="127"/>
  <c r="Y13" i="127"/>
  <c r="A13" i="127"/>
  <c r="J12" i="127"/>
  <c r="I12" i="127"/>
  <c r="K12" i="127"/>
  <c r="H12" i="127"/>
  <c r="L11" i="126"/>
  <c r="P10" i="126"/>
  <c r="O10" i="126"/>
  <c r="N10" i="126"/>
  <c r="M10" i="126"/>
  <c r="B13" i="126"/>
  <c r="C14" i="126"/>
  <c r="A13" i="126"/>
  <c r="Y13" i="126"/>
  <c r="K12" i="126"/>
  <c r="J12" i="126"/>
  <c r="I12" i="126"/>
  <c r="H12" i="126"/>
  <c r="L12" i="125"/>
  <c r="N12" i="125" s="1"/>
  <c r="P11" i="124"/>
  <c r="H13" i="125"/>
  <c r="K13" i="125"/>
  <c r="J13" i="125"/>
  <c r="I13" i="125"/>
  <c r="M11" i="124"/>
  <c r="Y14" i="125"/>
  <c r="C15" i="125"/>
  <c r="B14" i="125"/>
  <c r="A14" i="125"/>
  <c r="M11" i="125"/>
  <c r="P11" i="125"/>
  <c r="N11" i="125"/>
  <c r="O11" i="125"/>
  <c r="O11" i="124"/>
  <c r="T10" i="124"/>
  <c r="Y14" i="124"/>
  <c r="C15" i="124"/>
  <c r="A14" i="124"/>
  <c r="B14" i="124"/>
  <c r="I13" i="124"/>
  <c r="H13" i="124"/>
  <c r="J13" i="124"/>
  <c r="K13" i="124"/>
  <c r="L12" i="124"/>
  <c r="T12" i="124" s="1"/>
  <c r="C13" i="111"/>
  <c r="Y13" i="111" s="1"/>
  <c r="A12" i="111"/>
  <c r="B12" i="111"/>
  <c r="I12" i="111" s="1"/>
  <c r="O9" i="111"/>
  <c r="N9" i="111"/>
  <c r="P9" i="111"/>
  <c r="L11" i="111"/>
  <c r="P10" i="111"/>
  <c r="O10" i="111"/>
  <c r="N10" i="111"/>
  <c r="M10" i="111"/>
  <c r="U37" i="135"/>
  <c r="T10" i="126" l="1"/>
  <c r="T10" i="134"/>
  <c r="W37" i="135"/>
  <c r="P11" i="135"/>
  <c r="O11" i="135"/>
  <c r="M11" i="135"/>
  <c r="T10" i="135"/>
  <c r="T10" i="133"/>
  <c r="L12" i="135"/>
  <c r="N12" i="135" s="1"/>
  <c r="T10" i="132"/>
  <c r="Y14" i="135"/>
  <c r="B14" i="135"/>
  <c r="C15" i="135"/>
  <c r="A14" i="135"/>
  <c r="I13" i="135"/>
  <c r="H13" i="135"/>
  <c r="J13" i="135"/>
  <c r="K13" i="135"/>
  <c r="L12" i="134"/>
  <c r="M12" i="134" s="1"/>
  <c r="P11" i="134"/>
  <c r="O11" i="134"/>
  <c r="N11" i="134"/>
  <c r="M11" i="134"/>
  <c r="Y14" i="134"/>
  <c r="B14" i="134"/>
  <c r="C15" i="134"/>
  <c r="A14" i="134"/>
  <c r="I13" i="134"/>
  <c r="H13" i="134"/>
  <c r="K13" i="134"/>
  <c r="J13" i="134"/>
  <c r="O11" i="132"/>
  <c r="N11" i="132"/>
  <c r="M11" i="133"/>
  <c r="P11" i="133"/>
  <c r="O11" i="133"/>
  <c r="N11" i="133"/>
  <c r="I13" i="133"/>
  <c r="K13" i="133"/>
  <c r="J13" i="133"/>
  <c r="H13" i="133"/>
  <c r="B14" i="133"/>
  <c r="C15" i="133"/>
  <c r="A14" i="133"/>
  <c r="Y14" i="133"/>
  <c r="L12" i="133"/>
  <c r="T12" i="133" s="1"/>
  <c r="P11" i="132"/>
  <c r="T11" i="130"/>
  <c r="L12" i="132"/>
  <c r="Y14" i="132"/>
  <c r="B14" i="132"/>
  <c r="C15" i="132"/>
  <c r="A14" i="132"/>
  <c r="I13" i="132"/>
  <c r="H13" i="132"/>
  <c r="K13" i="132"/>
  <c r="J13" i="132"/>
  <c r="N12" i="130"/>
  <c r="T11" i="129"/>
  <c r="M12" i="130"/>
  <c r="P12" i="130"/>
  <c r="B14" i="131"/>
  <c r="C15" i="131"/>
  <c r="A14" i="131"/>
  <c r="Y14" i="131"/>
  <c r="H13" i="131"/>
  <c r="K13" i="131"/>
  <c r="J13" i="131"/>
  <c r="I13" i="131"/>
  <c r="L12" i="131"/>
  <c r="M11" i="131"/>
  <c r="P11" i="131"/>
  <c r="O11" i="131"/>
  <c r="N11" i="131"/>
  <c r="C16" i="130"/>
  <c r="A15" i="130"/>
  <c r="Y15" i="130"/>
  <c r="B15" i="130"/>
  <c r="P12" i="129"/>
  <c r="K14" i="130"/>
  <c r="I14" i="130"/>
  <c r="H14" i="130"/>
  <c r="J14" i="130"/>
  <c r="L13" i="130"/>
  <c r="T13" i="130" s="1"/>
  <c r="M12" i="129"/>
  <c r="O12" i="129"/>
  <c r="T10" i="127"/>
  <c r="L13" i="129"/>
  <c r="B15" i="129"/>
  <c r="C16" i="129"/>
  <c r="A15" i="129"/>
  <c r="Y15" i="129"/>
  <c r="I14" i="129"/>
  <c r="K14" i="129"/>
  <c r="J14" i="129"/>
  <c r="H14" i="129"/>
  <c r="N11" i="128"/>
  <c r="P11" i="128"/>
  <c r="M11" i="128"/>
  <c r="O11" i="128"/>
  <c r="T10" i="128"/>
  <c r="L12" i="128"/>
  <c r="O11" i="127"/>
  <c r="Y14" i="128"/>
  <c r="B14" i="128"/>
  <c r="C15" i="128"/>
  <c r="A14" i="128"/>
  <c r="H13" i="128"/>
  <c r="K13" i="128"/>
  <c r="J13" i="128"/>
  <c r="I13" i="128"/>
  <c r="M11" i="127"/>
  <c r="N11" i="127"/>
  <c r="L12" i="127"/>
  <c r="Y14" i="127"/>
  <c r="B14" i="127"/>
  <c r="C15" i="127"/>
  <c r="A14" i="127"/>
  <c r="P12" i="125"/>
  <c r="H13" i="127"/>
  <c r="K13" i="127"/>
  <c r="J13" i="127"/>
  <c r="I13" i="127"/>
  <c r="M12" i="125"/>
  <c r="O12" i="125"/>
  <c r="L12" i="126"/>
  <c r="P12" i="126" s="1"/>
  <c r="Y14" i="126"/>
  <c r="B14" i="126"/>
  <c r="C15" i="126"/>
  <c r="A14" i="126"/>
  <c r="I13" i="126"/>
  <c r="H13" i="126"/>
  <c r="K13" i="126"/>
  <c r="J13" i="126"/>
  <c r="M11" i="126"/>
  <c r="P11" i="126"/>
  <c r="O11" i="126"/>
  <c r="N11" i="126"/>
  <c r="T11" i="125"/>
  <c r="T11" i="124"/>
  <c r="K14" i="125"/>
  <c r="H14" i="125"/>
  <c r="I14" i="125"/>
  <c r="J14" i="125"/>
  <c r="L13" i="125"/>
  <c r="C16" i="125"/>
  <c r="A15" i="125"/>
  <c r="Y15" i="125"/>
  <c r="B15" i="125"/>
  <c r="L13" i="124"/>
  <c r="K14" i="124"/>
  <c r="I14" i="124"/>
  <c r="J14" i="124"/>
  <c r="H14" i="124"/>
  <c r="O12" i="124"/>
  <c r="N12" i="124"/>
  <c r="M12" i="124"/>
  <c r="P12" i="124"/>
  <c r="C16" i="124"/>
  <c r="A15" i="124"/>
  <c r="Y15" i="124"/>
  <c r="B15" i="124"/>
  <c r="A13" i="111"/>
  <c r="C14" i="111"/>
  <c r="Y14" i="111" s="1"/>
  <c r="K12" i="111"/>
  <c r="B13" i="111"/>
  <c r="I13" i="111" s="1"/>
  <c r="T12" i="111"/>
  <c r="J12" i="111"/>
  <c r="H12" i="111"/>
  <c r="N11" i="111"/>
  <c r="O11" i="111"/>
  <c r="M11" i="111"/>
  <c r="P11" i="111"/>
  <c r="T11" i="131" l="1"/>
  <c r="M12" i="135"/>
  <c r="O12" i="135"/>
  <c r="P12" i="135"/>
  <c r="T11" i="135"/>
  <c r="O12" i="134"/>
  <c r="L13" i="135"/>
  <c r="T11" i="134"/>
  <c r="C16" i="135"/>
  <c r="A15" i="135"/>
  <c r="B15" i="135"/>
  <c r="Y15" i="135"/>
  <c r="K14" i="135"/>
  <c r="J14" i="135"/>
  <c r="I14" i="135"/>
  <c r="H14" i="135"/>
  <c r="N12" i="134"/>
  <c r="P12" i="134"/>
  <c r="L13" i="134"/>
  <c r="T11" i="132"/>
  <c r="C16" i="134"/>
  <c r="A15" i="134"/>
  <c r="Y15" i="134"/>
  <c r="B15" i="134"/>
  <c r="K14" i="134"/>
  <c r="H14" i="134"/>
  <c r="I14" i="134"/>
  <c r="J14" i="134"/>
  <c r="T11" i="133"/>
  <c r="O12" i="133"/>
  <c r="N12" i="133"/>
  <c r="M12" i="133"/>
  <c r="P12" i="133"/>
  <c r="L13" i="133"/>
  <c r="C16" i="133"/>
  <c r="A15" i="133"/>
  <c r="Y15" i="133"/>
  <c r="B15" i="133"/>
  <c r="K14" i="133"/>
  <c r="J14" i="133"/>
  <c r="I14" i="133"/>
  <c r="H14" i="133"/>
  <c r="L13" i="132"/>
  <c r="P13" i="132" s="1"/>
  <c r="T12" i="130"/>
  <c r="C16" i="132"/>
  <c r="A15" i="132"/>
  <c r="Y15" i="132"/>
  <c r="B15" i="132"/>
  <c r="K14" i="132"/>
  <c r="I14" i="132"/>
  <c r="H14" i="132"/>
  <c r="J14" i="132"/>
  <c r="O12" i="132"/>
  <c r="N12" i="132"/>
  <c r="M12" i="132"/>
  <c r="P12" i="132"/>
  <c r="O12" i="131"/>
  <c r="M12" i="131"/>
  <c r="P12" i="131"/>
  <c r="N12" i="131"/>
  <c r="C16" i="131"/>
  <c r="A15" i="131"/>
  <c r="Y15" i="131"/>
  <c r="B15" i="131"/>
  <c r="L13" i="131"/>
  <c r="K14" i="131"/>
  <c r="J14" i="131"/>
  <c r="I14" i="131"/>
  <c r="H14" i="131"/>
  <c r="L14" i="130"/>
  <c r="K15" i="130"/>
  <c r="J15" i="130"/>
  <c r="I15" i="130"/>
  <c r="H15" i="130"/>
  <c r="O13" i="130"/>
  <c r="N13" i="130"/>
  <c r="M13" i="130"/>
  <c r="P13" i="130"/>
  <c r="C17" i="130"/>
  <c r="A16" i="130"/>
  <c r="Y16" i="130"/>
  <c r="B16" i="130"/>
  <c r="T12" i="125"/>
  <c r="T12" i="129"/>
  <c r="L14" i="129"/>
  <c r="O14" i="129" s="1"/>
  <c r="C17" i="129"/>
  <c r="A16" i="129"/>
  <c r="Y16" i="129"/>
  <c r="B16" i="129"/>
  <c r="K15" i="129"/>
  <c r="I15" i="129"/>
  <c r="H15" i="129"/>
  <c r="J15" i="129"/>
  <c r="L13" i="128"/>
  <c r="N13" i="128" s="1"/>
  <c r="O13" i="129"/>
  <c r="M13" i="129"/>
  <c r="N13" i="129"/>
  <c r="P13" i="129"/>
  <c r="T11" i="127"/>
  <c r="A15" i="128"/>
  <c r="Y15" i="128"/>
  <c r="B15" i="128"/>
  <c r="C16" i="128"/>
  <c r="J14" i="128"/>
  <c r="I14" i="128"/>
  <c r="H14" i="128"/>
  <c r="K14" i="128"/>
  <c r="O12" i="128"/>
  <c r="M12" i="128"/>
  <c r="P12" i="128"/>
  <c r="N12" i="128"/>
  <c r="O12" i="126"/>
  <c r="L13" i="127"/>
  <c r="T13" i="127" s="1"/>
  <c r="N12" i="126"/>
  <c r="T11" i="126"/>
  <c r="M12" i="126"/>
  <c r="C16" i="127"/>
  <c r="A15" i="127"/>
  <c r="Y15" i="127"/>
  <c r="B15" i="127"/>
  <c r="K14" i="127"/>
  <c r="J14" i="127"/>
  <c r="I14" i="127"/>
  <c r="H14" i="127"/>
  <c r="N12" i="127"/>
  <c r="M12" i="127"/>
  <c r="P12" i="127"/>
  <c r="O12" i="127"/>
  <c r="L13" i="126"/>
  <c r="O13" i="126" s="1"/>
  <c r="C16" i="126"/>
  <c r="A15" i="126"/>
  <c r="Y15" i="126"/>
  <c r="B15" i="126"/>
  <c r="K14" i="126"/>
  <c r="J14" i="126"/>
  <c r="I14" i="126"/>
  <c r="H14" i="126"/>
  <c r="L14" i="125"/>
  <c r="C17" i="125"/>
  <c r="A16" i="125"/>
  <c r="Y16" i="125"/>
  <c r="B16" i="125"/>
  <c r="P13" i="125"/>
  <c r="O13" i="125"/>
  <c r="N13" i="125"/>
  <c r="M13" i="125"/>
  <c r="K15" i="125"/>
  <c r="J15" i="125"/>
  <c r="I15" i="125"/>
  <c r="H15" i="125"/>
  <c r="L14" i="124"/>
  <c r="P14" i="124" s="1"/>
  <c r="K15" i="124"/>
  <c r="J15" i="124"/>
  <c r="I15" i="124"/>
  <c r="H15" i="124"/>
  <c r="B16" i="124"/>
  <c r="C17" i="124"/>
  <c r="A16" i="124"/>
  <c r="Y16" i="124"/>
  <c r="P13" i="124"/>
  <c r="O13" i="124"/>
  <c r="N13" i="124"/>
  <c r="M13" i="124"/>
  <c r="T13" i="111"/>
  <c r="K13" i="111"/>
  <c r="H13" i="111"/>
  <c r="J13" i="111"/>
  <c r="A14" i="111"/>
  <c r="B14" i="111"/>
  <c r="K14" i="111" s="1"/>
  <c r="C15" i="111"/>
  <c r="B15" i="111" s="1"/>
  <c r="L12" i="111"/>
  <c r="P12" i="111" s="1"/>
  <c r="T13" i="124" l="1"/>
  <c r="T12" i="128"/>
  <c r="T12" i="135"/>
  <c r="T12" i="134"/>
  <c r="K15" i="135"/>
  <c r="J15" i="135"/>
  <c r="I15" i="135"/>
  <c r="H15" i="135"/>
  <c r="B16" i="135"/>
  <c r="C17" i="135"/>
  <c r="A16" i="135"/>
  <c r="Y16" i="135"/>
  <c r="L14" i="135"/>
  <c r="T14" i="135" s="1"/>
  <c r="P13" i="135"/>
  <c r="O13" i="135"/>
  <c r="N13" i="135"/>
  <c r="M13" i="135"/>
  <c r="L14" i="134"/>
  <c r="N14" i="134" s="1"/>
  <c r="K15" i="134"/>
  <c r="J15" i="134"/>
  <c r="I15" i="134"/>
  <c r="H15" i="134"/>
  <c r="C17" i="134"/>
  <c r="A16" i="134"/>
  <c r="Y16" i="134"/>
  <c r="B16" i="134"/>
  <c r="P13" i="134"/>
  <c r="O13" i="134"/>
  <c r="N13" i="134"/>
  <c r="M13" i="134"/>
  <c r="T12" i="131"/>
  <c r="C17" i="133"/>
  <c r="A16" i="133"/>
  <c r="Y16" i="133"/>
  <c r="B16" i="133"/>
  <c r="L14" i="133"/>
  <c r="O13" i="133"/>
  <c r="M13" i="133"/>
  <c r="N13" i="133"/>
  <c r="P13" i="133"/>
  <c r="N13" i="132"/>
  <c r="K15" i="133"/>
  <c r="J15" i="133"/>
  <c r="I15" i="133"/>
  <c r="H15" i="133"/>
  <c r="M13" i="132"/>
  <c r="L14" i="132"/>
  <c r="T14" i="132" s="1"/>
  <c r="O13" i="132"/>
  <c r="T12" i="132"/>
  <c r="K15" i="132"/>
  <c r="J15" i="132"/>
  <c r="I15" i="132"/>
  <c r="H15" i="132"/>
  <c r="B16" i="132"/>
  <c r="C17" i="132"/>
  <c r="A16" i="132"/>
  <c r="Y16" i="132"/>
  <c r="P14" i="129"/>
  <c r="M14" i="129"/>
  <c r="O14" i="130"/>
  <c r="K15" i="131"/>
  <c r="J15" i="131"/>
  <c r="I15" i="131"/>
  <c r="H15" i="131"/>
  <c r="L14" i="131"/>
  <c r="B16" i="131"/>
  <c r="C17" i="131"/>
  <c r="A16" i="131"/>
  <c r="Y16" i="131"/>
  <c r="M14" i="130"/>
  <c r="N14" i="130"/>
  <c r="P13" i="131"/>
  <c r="O13" i="131"/>
  <c r="N13" i="131"/>
  <c r="M13" i="131"/>
  <c r="P14" i="130"/>
  <c r="L15" i="130"/>
  <c r="M15" i="130" s="1"/>
  <c r="B17" i="130"/>
  <c r="C18" i="130"/>
  <c r="A17" i="130"/>
  <c r="Y17" i="130"/>
  <c r="N14" i="129"/>
  <c r="T12" i="126"/>
  <c r="K16" i="130"/>
  <c r="J16" i="130"/>
  <c r="I16" i="130"/>
  <c r="H16" i="130"/>
  <c r="M13" i="128"/>
  <c r="O13" i="128"/>
  <c r="P13" i="128"/>
  <c r="T13" i="129"/>
  <c r="O13" i="127"/>
  <c r="K16" i="129"/>
  <c r="J16" i="129"/>
  <c r="I16" i="129"/>
  <c r="H16" i="129"/>
  <c r="C18" i="129"/>
  <c r="A17" i="129"/>
  <c r="Y17" i="129"/>
  <c r="B17" i="129"/>
  <c r="L15" i="129"/>
  <c r="T15" i="129" s="1"/>
  <c r="L14" i="128"/>
  <c r="P14" i="128" s="1"/>
  <c r="N13" i="127"/>
  <c r="P13" i="127"/>
  <c r="T12" i="127"/>
  <c r="B16" i="128"/>
  <c r="C17" i="128"/>
  <c r="A16" i="128"/>
  <c r="Y16" i="128"/>
  <c r="K15" i="128"/>
  <c r="J15" i="128"/>
  <c r="I15" i="128"/>
  <c r="H15" i="128"/>
  <c r="M13" i="127"/>
  <c r="N13" i="126"/>
  <c r="L14" i="127"/>
  <c r="B16" i="127"/>
  <c r="C17" i="127"/>
  <c r="A16" i="127"/>
  <c r="Y16" i="127"/>
  <c r="K15" i="127"/>
  <c r="J15" i="127"/>
  <c r="I15" i="127"/>
  <c r="H15" i="127"/>
  <c r="M13" i="126"/>
  <c r="P13" i="126"/>
  <c r="L14" i="126"/>
  <c r="N14" i="126" s="1"/>
  <c r="N14" i="124"/>
  <c r="M14" i="124"/>
  <c r="K15" i="126"/>
  <c r="J15" i="126"/>
  <c r="I15" i="126"/>
  <c r="H15" i="126"/>
  <c r="B16" i="126"/>
  <c r="C17" i="126"/>
  <c r="A16" i="126"/>
  <c r="Y16" i="126"/>
  <c r="O14" i="124"/>
  <c r="T13" i="125"/>
  <c r="L15" i="125"/>
  <c r="K16" i="125"/>
  <c r="J16" i="125"/>
  <c r="I16" i="125"/>
  <c r="H16" i="125"/>
  <c r="B17" i="125"/>
  <c r="C18" i="125"/>
  <c r="A17" i="125"/>
  <c r="Y17" i="125"/>
  <c r="P14" i="125"/>
  <c r="O14" i="125"/>
  <c r="N14" i="125"/>
  <c r="M14" i="125"/>
  <c r="L15" i="124"/>
  <c r="M15" i="124" s="1"/>
  <c r="Y17" i="124"/>
  <c r="B17" i="124"/>
  <c r="C18" i="124"/>
  <c r="A17" i="124"/>
  <c r="H16" i="124"/>
  <c r="K16" i="124"/>
  <c r="J16" i="124"/>
  <c r="I16" i="124"/>
  <c r="H14" i="111"/>
  <c r="L13" i="111"/>
  <c r="N13" i="111" s="1"/>
  <c r="A15" i="111"/>
  <c r="I14" i="111"/>
  <c r="C16" i="111"/>
  <c r="B16" i="111" s="1"/>
  <c r="Y15" i="111"/>
  <c r="T14" i="111"/>
  <c r="J14" i="111"/>
  <c r="N12" i="111"/>
  <c r="M12" i="111"/>
  <c r="O12" i="111"/>
  <c r="J15" i="111"/>
  <c r="K15" i="111"/>
  <c r="I15" i="111"/>
  <c r="H15" i="111"/>
  <c r="T15" i="111"/>
  <c r="T14" i="130" l="1"/>
  <c r="T13" i="133"/>
  <c r="O14" i="134"/>
  <c r="T13" i="135"/>
  <c r="P14" i="134"/>
  <c r="B17" i="135"/>
  <c r="C18" i="135"/>
  <c r="A17" i="135"/>
  <c r="Y17" i="135"/>
  <c r="K16" i="135"/>
  <c r="H16" i="135"/>
  <c r="J16" i="135"/>
  <c r="I16" i="135"/>
  <c r="L15" i="135"/>
  <c r="M14" i="134"/>
  <c r="P14" i="135"/>
  <c r="O14" i="135"/>
  <c r="N14" i="135"/>
  <c r="M14" i="135"/>
  <c r="T13" i="134"/>
  <c r="B17" i="134"/>
  <c r="C18" i="134"/>
  <c r="A17" i="134"/>
  <c r="Y17" i="134"/>
  <c r="L15" i="134"/>
  <c r="T13" i="132"/>
  <c r="K16" i="134"/>
  <c r="J16" i="134"/>
  <c r="I16" i="134"/>
  <c r="H16" i="134"/>
  <c r="P14" i="132"/>
  <c r="T14" i="129"/>
  <c r="M14" i="132"/>
  <c r="O14" i="132"/>
  <c r="L15" i="133"/>
  <c r="P14" i="133"/>
  <c r="O14" i="133"/>
  <c r="N14" i="133"/>
  <c r="M14" i="133"/>
  <c r="N14" i="132"/>
  <c r="K16" i="133"/>
  <c r="J16" i="133"/>
  <c r="I16" i="133"/>
  <c r="H16" i="133"/>
  <c r="A17" i="133"/>
  <c r="B17" i="133"/>
  <c r="C18" i="133"/>
  <c r="Y17" i="133"/>
  <c r="L15" i="132"/>
  <c r="T13" i="131"/>
  <c r="B17" i="132"/>
  <c r="C18" i="132"/>
  <c r="A17" i="132"/>
  <c r="Y17" i="132"/>
  <c r="K16" i="132"/>
  <c r="J16" i="132"/>
  <c r="I16" i="132"/>
  <c r="H16" i="132"/>
  <c r="T13" i="128"/>
  <c r="J16" i="131"/>
  <c r="K16" i="131"/>
  <c r="I16" i="131"/>
  <c r="H16" i="131"/>
  <c r="N14" i="131"/>
  <c r="P14" i="131"/>
  <c r="O14" i="131"/>
  <c r="M14" i="131"/>
  <c r="L15" i="131"/>
  <c r="B17" i="131"/>
  <c r="A17" i="131"/>
  <c r="C18" i="131"/>
  <c r="Y17" i="131"/>
  <c r="N15" i="130"/>
  <c r="O15" i="130"/>
  <c r="P15" i="130"/>
  <c r="L16" i="130"/>
  <c r="B18" i="130"/>
  <c r="C19" i="130"/>
  <c r="A18" i="130"/>
  <c r="Y18" i="130"/>
  <c r="I17" i="130"/>
  <c r="K17" i="130"/>
  <c r="H17" i="130"/>
  <c r="J17" i="130"/>
  <c r="L16" i="129"/>
  <c r="B18" i="129"/>
  <c r="C19" i="129"/>
  <c r="A18" i="129"/>
  <c r="Y18" i="129"/>
  <c r="P15" i="129"/>
  <c r="O15" i="129"/>
  <c r="N15" i="129"/>
  <c r="M15" i="129"/>
  <c r="I17" i="129"/>
  <c r="K17" i="129"/>
  <c r="J17" i="129"/>
  <c r="H17" i="129"/>
  <c r="L15" i="128"/>
  <c r="O15" i="128" s="1"/>
  <c r="M14" i="128"/>
  <c r="O14" i="128"/>
  <c r="N14" i="128"/>
  <c r="J16" i="128"/>
  <c r="K16" i="128"/>
  <c r="I16" i="128"/>
  <c r="H16" i="128"/>
  <c r="P14" i="126"/>
  <c r="B17" i="128"/>
  <c r="C18" i="128"/>
  <c r="A17" i="128"/>
  <c r="Y17" i="128"/>
  <c r="O14" i="126"/>
  <c r="T13" i="126"/>
  <c r="K16" i="127"/>
  <c r="J16" i="127"/>
  <c r="I16" i="127"/>
  <c r="H16" i="127"/>
  <c r="B17" i="127"/>
  <c r="C18" i="127"/>
  <c r="A17" i="127"/>
  <c r="Y17" i="127"/>
  <c r="L15" i="127"/>
  <c r="P14" i="127"/>
  <c r="N14" i="127"/>
  <c r="M14" i="127"/>
  <c r="O14" i="127"/>
  <c r="T14" i="124"/>
  <c r="M14" i="126"/>
  <c r="T14" i="126" s="1"/>
  <c r="L15" i="126"/>
  <c r="O15" i="126" s="1"/>
  <c r="T14" i="125"/>
  <c r="K16" i="126"/>
  <c r="J16" i="126"/>
  <c r="I16" i="126"/>
  <c r="H16" i="126"/>
  <c r="B17" i="126"/>
  <c r="C18" i="126"/>
  <c r="A17" i="126"/>
  <c r="Y17" i="126"/>
  <c r="L16" i="125"/>
  <c r="T16" i="125" s="1"/>
  <c r="H17" i="125"/>
  <c r="K17" i="125"/>
  <c r="J17" i="125"/>
  <c r="I17" i="125"/>
  <c r="P15" i="124"/>
  <c r="O15" i="124"/>
  <c r="C19" i="125"/>
  <c r="Y18" i="125"/>
  <c r="B18" i="125"/>
  <c r="A18" i="125"/>
  <c r="M15" i="125"/>
  <c r="O15" i="125"/>
  <c r="P15" i="125"/>
  <c r="N15" i="125"/>
  <c r="L16" i="124"/>
  <c r="O16" i="124" s="1"/>
  <c r="N15" i="124"/>
  <c r="Y18" i="124"/>
  <c r="B18" i="124"/>
  <c r="C19" i="124"/>
  <c r="A18" i="124"/>
  <c r="I17" i="124"/>
  <c r="H17" i="124"/>
  <c r="K17" i="124"/>
  <c r="J17" i="124"/>
  <c r="O13" i="111"/>
  <c r="P13" i="111"/>
  <c r="M13" i="111"/>
  <c r="C17" i="111"/>
  <c r="C18" i="111" s="1"/>
  <c r="A16" i="111"/>
  <c r="Y16" i="111"/>
  <c r="L14" i="111"/>
  <c r="O14" i="111" s="1"/>
  <c r="H16" i="111"/>
  <c r="I16" i="111"/>
  <c r="T16" i="111"/>
  <c r="J16" i="111"/>
  <c r="K16" i="111"/>
  <c r="L15" i="111"/>
  <c r="T14" i="127" l="1"/>
  <c r="P15" i="128"/>
  <c r="T14" i="134"/>
  <c r="M15" i="135"/>
  <c r="N15" i="135"/>
  <c r="P15" i="135"/>
  <c r="O15" i="135"/>
  <c r="Y18" i="135"/>
  <c r="B18" i="135"/>
  <c r="C19" i="135"/>
  <c r="A18" i="135"/>
  <c r="L16" i="135"/>
  <c r="I17" i="135"/>
  <c r="H17" i="135"/>
  <c r="J17" i="135"/>
  <c r="K17" i="135"/>
  <c r="L16" i="134"/>
  <c r="T16" i="134" s="1"/>
  <c r="O15" i="132"/>
  <c r="M15" i="134"/>
  <c r="P15" i="134"/>
  <c r="O15" i="134"/>
  <c r="N15" i="134"/>
  <c r="Y18" i="134"/>
  <c r="B18" i="134"/>
  <c r="C19" i="134"/>
  <c r="A18" i="134"/>
  <c r="I17" i="134"/>
  <c r="H17" i="134"/>
  <c r="K17" i="134"/>
  <c r="J17" i="134"/>
  <c r="T14" i="133"/>
  <c r="L16" i="133"/>
  <c r="O16" i="133" s="1"/>
  <c r="L16" i="132"/>
  <c r="P16" i="132" s="1"/>
  <c r="Y18" i="133"/>
  <c r="B18" i="133"/>
  <c r="C19" i="133"/>
  <c r="A18" i="133"/>
  <c r="I17" i="133"/>
  <c r="K17" i="133"/>
  <c r="J17" i="133"/>
  <c r="H17" i="133"/>
  <c r="M15" i="133"/>
  <c r="P15" i="133"/>
  <c r="O15" i="133"/>
  <c r="N15" i="133"/>
  <c r="N15" i="132"/>
  <c r="P15" i="132"/>
  <c r="M15" i="132"/>
  <c r="Y18" i="132"/>
  <c r="B18" i="132"/>
  <c r="C19" i="132"/>
  <c r="A18" i="132"/>
  <c r="I17" i="132"/>
  <c r="K17" i="132"/>
  <c r="J17" i="132"/>
  <c r="H17" i="132"/>
  <c r="T15" i="130"/>
  <c r="T14" i="131"/>
  <c r="L16" i="131"/>
  <c r="O16" i="131" s="1"/>
  <c r="Y18" i="131"/>
  <c r="B18" i="131"/>
  <c r="C19" i="131"/>
  <c r="A18" i="131"/>
  <c r="I17" i="131"/>
  <c r="H17" i="131"/>
  <c r="K17" i="131"/>
  <c r="J17" i="131"/>
  <c r="M15" i="131"/>
  <c r="P15" i="131"/>
  <c r="O15" i="131"/>
  <c r="N15" i="131"/>
  <c r="L17" i="130"/>
  <c r="O17" i="130" s="1"/>
  <c r="C20" i="130"/>
  <c r="A19" i="130"/>
  <c r="Y19" i="130"/>
  <c r="B19" i="130"/>
  <c r="K18" i="130"/>
  <c r="I18" i="130"/>
  <c r="H18" i="130"/>
  <c r="J18" i="130"/>
  <c r="O16" i="130"/>
  <c r="M16" i="130"/>
  <c r="P16" i="130"/>
  <c r="N16" i="130"/>
  <c r="N16" i="129"/>
  <c r="O16" i="129"/>
  <c r="P16" i="129"/>
  <c r="M16" i="129"/>
  <c r="C20" i="129"/>
  <c r="B19" i="129"/>
  <c r="A19" i="129"/>
  <c r="Y19" i="129"/>
  <c r="L17" i="129"/>
  <c r="K18" i="129"/>
  <c r="I18" i="129"/>
  <c r="H18" i="129"/>
  <c r="J18" i="129"/>
  <c r="M15" i="128"/>
  <c r="N15" i="128"/>
  <c r="L16" i="128"/>
  <c r="N16" i="128" s="1"/>
  <c r="P15" i="126"/>
  <c r="T14" i="128"/>
  <c r="M15" i="126"/>
  <c r="P16" i="124"/>
  <c r="B18" i="128"/>
  <c r="C19" i="128"/>
  <c r="A18" i="128"/>
  <c r="Y18" i="128"/>
  <c r="I17" i="128"/>
  <c r="K17" i="128"/>
  <c r="J17" i="128"/>
  <c r="H17" i="128"/>
  <c r="L16" i="127"/>
  <c r="N16" i="127" s="1"/>
  <c r="Y18" i="127"/>
  <c r="B18" i="127"/>
  <c r="C19" i="127"/>
  <c r="A18" i="127"/>
  <c r="I17" i="127"/>
  <c r="H17" i="127"/>
  <c r="K17" i="127"/>
  <c r="J17" i="127"/>
  <c r="M15" i="127"/>
  <c r="P15" i="127"/>
  <c r="O15" i="127"/>
  <c r="N15" i="127"/>
  <c r="M16" i="124"/>
  <c r="P16" i="125"/>
  <c r="N16" i="125"/>
  <c r="L16" i="126"/>
  <c r="T16" i="126" s="1"/>
  <c r="O16" i="125"/>
  <c r="N15" i="126"/>
  <c r="M16" i="125"/>
  <c r="I17" i="126"/>
  <c r="H17" i="126"/>
  <c r="K17" i="126"/>
  <c r="J17" i="126"/>
  <c r="Y18" i="126"/>
  <c r="B18" i="126"/>
  <c r="C19" i="126"/>
  <c r="A18" i="126"/>
  <c r="T15" i="124"/>
  <c r="L17" i="125"/>
  <c r="T15" i="125"/>
  <c r="N16" i="124"/>
  <c r="K18" i="125"/>
  <c r="J18" i="125"/>
  <c r="I18" i="125"/>
  <c r="H18" i="125"/>
  <c r="C20" i="125"/>
  <c r="A19" i="125"/>
  <c r="Y19" i="125"/>
  <c r="B19" i="125"/>
  <c r="L17" i="124"/>
  <c r="O17" i="124" s="1"/>
  <c r="C20" i="124"/>
  <c r="A19" i="124"/>
  <c r="B19" i="124"/>
  <c r="Y19" i="124"/>
  <c r="K18" i="124"/>
  <c r="J18" i="124"/>
  <c r="I18" i="124"/>
  <c r="H18" i="124"/>
  <c r="Y17" i="111"/>
  <c r="B17" i="111"/>
  <c r="I17" i="111" s="1"/>
  <c r="A17" i="111"/>
  <c r="P14" i="111"/>
  <c r="N14" i="111"/>
  <c r="M14" i="111"/>
  <c r="N15" i="111"/>
  <c r="M15" i="111"/>
  <c r="P15" i="111"/>
  <c r="O15" i="111"/>
  <c r="C19" i="111"/>
  <c r="Y18" i="111"/>
  <c r="B18" i="111"/>
  <c r="A18" i="111"/>
  <c r="L16" i="111"/>
  <c r="T16" i="129" l="1"/>
  <c r="T15" i="132"/>
  <c r="T15" i="135"/>
  <c r="O16" i="132"/>
  <c r="M16" i="132"/>
  <c r="L17" i="135"/>
  <c r="O17" i="135" s="1"/>
  <c r="C20" i="135"/>
  <c r="A19" i="135"/>
  <c r="B19" i="135"/>
  <c r="Y19" i="135"/>
  <c r="K18" i="135"/>
  <c r="J18" i="135"/>
  <c r="I18" i="135"/>
  <c r="H18" i="135"/>
  <c r="M16" i="134"/>
  <c r="O16" i="135"/>
  <c r="P16" i="135"/>
  <c r="N16" i="135"/>
  <c r="M16" i="135"/>
  <c r="N16" i="134"/>
  <c r="O16" i="134"/>
  <c r="N16" i="132"/>
  <c r="T15" i="134"/>
  <c r="P16" i="134"/>
  <c r="L17" i="134"/>
  <c r="C20" i="134"/>
  <c r="A19" i="134"/>
  <c r="Y19" i="134"/>
  <c r="B19" i="134"/>
  <c r="K18" i="134"/>
  <c r="I18" i="134"/>
  <c r="H18" i="134"/>
  <c r="J18" i="134"/>
  <c r="P16" i="131"/>
  <c r="M16" i="131"/>
  <c r="P16" i="133"/>
  <c r="M16" i="133"/>
  <c r="N16" i="133"/>
  <c r="T15" i="133"/>
  <c r="L17" i="133"/>
  <c r="T15" i="126"/>
  <c r="C20" i="133"/>
  <c r="A19" i="133"/>
  <c r="Y19" i="133"/>
  <c r="B19" i="133"/>
  <c r="K18" i="133"/>
  <c r="J18" i="133"/>
  <c r="I18" i="133"/>
  <c r="H18" i="133"/>
  <c r="L17" i="132"/>
  <c r="P17" i="132" s="1"/>
  <c r="N16" i="131"/>
  <c r="T15" i="131"/>
  <c r="C20" i="132"/>
  <c r="A19" i="132"/>
  <c r="Y19" i="132"/>
  <c r="B19" i="132"/>
  <c r="K18" i="132"/>
  <c r="J18" i="132"/>
  <c r="I18" i="132"/>
  <c r="H18" i="132"/>
  <c r="M17" i="130"/>
  <c r="P17" i="130"/>
  <c r="N17" i="130"/>
  <c r="C20" i="131"/>
  <c r="A19" i="131"/>
  <c r="Y19" i="131"/>
  <c r="B19" i="131"/>
  <c r="L17" i="131"/>
  <c r="T17" i="131" s="1"/>
  <c r="K18" i="131"/>
  <c r="I18" i="131"/>
  <c r="H18" i="131"/>
  <c r="J18" i="131"/>
  <c r="L18" i="130"/>
  <c r="N18" i="130" s="1"/>
  <c r="T16" i="130"/>
  <c r="K19" i="130"/>
  <c r="J19" i="130"/>
  <c r="I19" i="130"/>
  <c r="H19" i="130"/>
  <c r="B20" i="130"/>
  <c r="C21" i="130"/>
  <c r="A20" i="130"/>
  <c r="Y20" i="130"/>
  <c r="M17" i="125"/>
  <c r="L18" i="129"/>
  <c r="P16" i="128"/>
  <c r="O17" i="129"/>
  <c r="M17" i="129"/>
  <c r="P17" i="129"/>
  <c r="N17" i="129"/>
  <c r="T15" i="128"/>
  <c r="K19" i="129"/>
  <c r="I19" i="129"/>
  <c r="H19" i="129"/>
  <c r="J19" i="129"/>
  <c r="C21" i="129"/>
  <c r="A20" i="129"/>
  <c r="Y20" i="129"/>
  <c r="B20" i="129"/>
  <c r="N17" i="125"/>
  <c r="P16" i="127"/>
  <c r="M16" i="127"/>
  <c r="O16" i="127"/>
  <c r="P17" i="125"/>
  <c r="O16" i="128"/>
  <c r="O17" i="125"/>
  <c r="M16" i="128"/>
  <c r="T15" i="127"/>
  <c r="L17" i="128"/>
  <c r="C20" i="128"/>
  <c r="A19" i="128"/>
  <c r="Y19" i="128"/>
  <c r="B19" i="128"/>
  <c r="K18" i="128"/>
  <c r="J18" i="128"/>
  <c r="I18" i="128"/>
  <c r="H18" i="128"/>
  <c r="L17" i="127"/>
  <c r="P17" i="127" s="1"/>
  <c r="P16" i="126"/>
  <c r="M16" i="126"/>
  <c r="C20" i="127"/>
  <c r="A19" i="127"/>
  <c r="Y19" i="127"/>
  <c r="B19" i="127"/>
  <c r="O16" i="126"/>
  <c r="K18" i="127"/>
  <c r="J18" i="127"/>
  <c r="I18" i="127"/>
  <c r="H18" i="127"/>
  <c r="T16" i="124"/>
  <c r="N16" i="126"/>
  <c r="L17" i="126"/>
  <c r="N17" i="124"/>
  <c r="C20" i="126"/>
  <c r="A19" i="126"/>
  <c r="Y19" i="126"/>
  <c r="B19" i="126"/>
  <c r="K18" i="126"/>
  <c r="I18" i="126"/>
  <c r="H18" i="126"/>
  <c r="J18" i="126"/>
  <c r="M17" i="124"/>
  <c r="L18" i="125"/>
  <c r="M18" i="125" s="1"/>
  <c r="P17" i="124"/>
  <c r="K19" i="125"/>
  <c r="J19" i="125"/>
  <c r="I19" i="125"/>
  <c r="H19" i="125"/>
  <c r="B20" i="125"/>
  <c r="C21" i="125"/>
  <c r="A20" i="125"/>
  <c r="Y20" i="125"/>
  <c r="L18" i="124"/>
  <c r="M18" i="124" s="1"/>
  <c r="B20" i="124"/>
  <c r="C21" i="124"/>
  <c r="A20" i="124"/>
  <c r="Y20" i="124"/>
  <c r="K19" i="124"/>
  <c r="J19" i="124"/>
  <c r="I19" i="124"/>
  <c r="H19" i="124"/>
  <c r="T17" i="111"/>
  <c r="K17" i="111"/>
  <c r="J17" i="111"/>
  <c r="H17" i="111"/>
  <c r="H18" i="111"/>
  <c r="J18" i="111"/>
  <c r="K18" i="111"/>
  <c r="I18" i="111"/>
  <c r="T18" i="111"/>
  <c r="P16" i="111"/>
  <c r="O16" i="111"/>
  <c r="N16" i="111"/>
  <c r="M16" i="111"/>
  <c r="B19" i="111"/>
  <c r="Y19" i="111"/>
  <c r="C20" i="111"/>
  <c r="A19" i="111"/>
  <c r="P17" i="135" l="1"/>
  <c r="T17" i="125"/>
  <c r="T16" i="132"/>
  <c r="M17" i="135"/>
  <c r="N17" i="135"/>
  <c r="T16" i="135"/>
  <c r="M17" i="132"/>
  <c r="T16" i="131"/>
  <c r="L18" i="135"/>
  <c r="N17" i="132"/>
  <c r="K19" i="135"/>
  <c r="J19" i="135"/>
  <c r="I19" i="135"/>
  <c r="H19" i="135"/>
  <c r="B20" i="135"/>
  <c r="C21" i="135"/>
  <c r="A20" i="135"/>
  <c r="Y20" i="135"/>
  <c r="O17" i="132"/>
  <c r="L18" i="134"/>
  <c r="K19" i="134"/>
  <c r="J19" i="134"/>
  <c r="I19" i="134"/>
  <c r="H19" i="134"/>
  <c r="B20" i="134"/>
  <c r="C21" i="134"/>
  <c r="A20" i="134"/>
  <c r="Y20" i="134"/>
  <c r="P17" i="134"/>
  <c r="O17" i="134"/>
  <c r="N17" i="134"/>
  <c r="M17" i="134"/>
  <c r="T16" i="133"/>
  <c r="T17" i="130"/>
  <c r="K19" i="133"/>
  <c r="J19" i="133"/>
  <c r="I19" i="133"/>
  <c r="H19" i="133"/>
  <c r="B20" i="133"/>
  <c r="C21" i="133"/>
  <c r="A20" i="133"/>
  <c r="Y20" i="133"/>
  <c r="L18" i="133"/>
  <c r="O17" i="133"/>
  <c r="N17" i="133"/>
  <c r="M17" i="133"/>
  <c r="P17" i="133"/>
  <c r="L18" i="132"/>
  <c r="P18" i="132" s="1"/>
  <c r="M18" i="130"/>
  <c r="O18" i="130"/>
  <c r="P18" i="130"/>
  <c r="B20" i="132"/>
  <c r="C21" i="132"/>
  <c r="A20" i="132"/>
  <c r="Y20" i="132"/>
  <c r="M18" i="132"/>
  <c r="K19" i="132"/>
  <c r="J19" i="132"/>
  <c r="I19" i="132"/>
  <c r="H19" i="132"/>
  <c r="L18" i="131"/>
  <c r="P17" i="131"/>
  <c r="O17" i="131"/>
  <c r="N17" i="131"/>
  <c r="M17" i="131"/>
  <c r="K19" i="131"/>
  <c r="J19" i="131"/>
  <c r="H19" i="131"/>
  <c r="I19" i="131"/>
  <c r="C21" i="131"/>
  <c r="A20" i="131"/>
  <c r="Y20" i="131"/>
  <c r="B20" i="131"/>
  <c r="L19" i="130"/>
  <c r="M19" i="130" s="1"/>
  <c r="B21" i="130"/>
  <c r="C22" i="130"/>
  <c r="A21" i="130"/>
  <c r="Y21" i="130"/>
  <c r="K20" i="130"/>
  <c r="J20" i="130"/>
  <c r="I20" i="130"/>
  <c r="H20" i="130"/>
  <c r="T17" i="129"/>
  <c r="T16" i="127"/>
  <c r="L19" i="129"/>
  <c r="M19" i="129" s="1"/>
  <c r="K20" i="129"/>
  <c r="J20" i="129"/>
  <c r="I20" i="129"/>
  <c r="H20" i="129"/>
  <c r="C22" i="129"/>
  <c r="A21" i="129"/>
  <c r="Y21" i="129"/>
  <c r="B21" i="129"/>
  <c r="T16" i="128"/>
  <c r="O18" i="129"/>
  <c r="N18" i="129"/>
  <c r="M18" i="129"/>
  <c r="P18" i="129"/>
  <c r="N17" i="127"/>
  <c r="O17" i="127"/>
  <c r="M17" i="127"/>
  <c r="K19" i="128"/>
  <c r="J19" i="128"/>
  <c r="H19" i="128"/>
  <c r="I19" i="128"/>
  <c r="C21" i="128"/>
  <c r="A20" i="128"/>
  <c r="Y20" i="128"/>
  <c r="B20" i="128"/>
  <c r="L18" i="128"/>
  <c r="T18" i="128" s="1"/>
  <c r="P17" i="128"/>
  <c r="O17" i="128"/>
  <c r="N17" i="128"/>
  <c r="M17" i="128"/>
  <c r="L18" i="127"/>
  <c r="P18" i="127" s="1"/>
  <c r="T17" i="124"/>
  <c r="B20" i="127"/>
  <c r="C21" i="127"/>
  <c r="A20" i="127"/>
  <c r="Y20" i="127"/>
  <c r="L18" i="126"/>
  <c r="N18" i="126" s="1"/>
  <c r="K19" i="127"/>
  <c r="J19" i="127"/>
  <c r="I19" i="127"/>
  <c r="H19" i="127"/>
  <c r="O18" i="125"/>
  <c r="P18" i="125"/>
  <c r="M17" i="126"/>
  <c r="N17" i="126"/>
  <c r="N18" i="125"/>
  <c r="P17" i="126"/>
  <c r="O17" i="126"/>
  <c r="B20" i="126"/>
  <c r="C21" i="126"/>
  <c r="A20" i="126"/>
  <c r="Y20" i="126"/>
  <c r="K19" i="126"/>
  <c r="J19" i="126"/>
  <c r="I19" i="126"/>
  <c r="H19" i="126"/>
  <c r="L19" i="125"/>
  <c r="M19" i="125" s="1"/>
  <c r="O18" i="124"/>
  <c r="P18" i="124"/>
  <c r="B21" i="125"/>
  <c r="C22" i="125"/>
  <c r="A21" i="125"/>
  <c r="Y21" i="125"/>
  <c r="N18" i="124"/>
  <c r="K20" i="125"/>
  <c r="J20" i="125"/>
  <c r="I20" i="125"/>
  <c r="H20" i="125"/>
  <c r="L19" i="124"/>
  <c r="T19" i="124" s="1"/>
  <c r="B21" i="124"/>
  <c r="Y21" i="124"/>
  <c r="C22" i="124"/>
  <c r="A21" i="124"/>
  <c r="I20" i="124"/>
  <c r="H20" i="124"/>
  <c r="K20" i="124"/>
  <c r="J20" i="124"/>
  <c r="L17" i="111"/>
  <c r="N17" i="111" s="1"/>
  <c r="J19" i="111"/>
  <c r="I19" i="111"/>
  <c r="H19" i="111"/>
  <c r="T19" i="111"/>
  <c r="K19" i="111"/>
  <c r="L18" i="111"/>
  <c r="B20" i="111"/>
  <c r="A20" i="111"/>
  <c r="Y20" i="111"/>
  <c r="C21" i="111"/>
  <c r="T17" i="134" l="1"/>
  <c r="T17" i="126"/>
  <c r="M18" i="131"/>
  <c r="T17" i="135"/>
  <c r="T17" i="132"/>
  <c r="P18" i="126"/>
  <c r="K20" i="135"/>
  <c r="H20" i="135"/>
  <c r="J20" i="135"/>
  <c r="I20" i="135"/>
  <c r="O18" i="131"/>
  <c r="L19" i="135"/>
  <c r="P18" i="131"/>
  <c r="N18" i="131"/>
  <c r="T18" i="131" s="1"/>
  <c r="B21" i="135"/>
  <c r="C22" i="135"/>
  <c r="A21" i="135"/>
  <c r="Y21" i="135"/>
  <c r="P18" i="135"/>
  <c r="O18" i="135"/>
  <c r="N18" i="135"/>
  <c r="M18" i="135"/>
  <c r="B21" i="134"/>
  <c r="C22" i="134"/>
  <c r="A21" i="134"/>
  <c r="Y21" i="134"/>
  <c r="K20" i="134"/>
  <c r="J20" i="134"/>
  <c r="I20" i="134"/>
  <c r="H20" i="134"/>
  <c r="L19" i="134"/>
  <c r="P18" i="134"/>
  <c r="O18" i="134"/>
  <c r="N18" i="134"/>
  <c r="M18" i="134"/>
  <c r="L19" i="133"/>
  <c r="T19" i="133" s="1"/>
  <c r="T18" i="130"/>
  <c r="T17" i="133"/>
  <c r="C22" i="133"/>
  <c r="B21" i="133"/>
  <c r="A21" i="133"/>
  <c r="Y21" i="133"/>
  <c r="K20" i="133"/>
  <c r="J20" i="133"/>
  <c r="I20" i="133"/>
  <c r="H20" i="133"/>
  <c r="P18" i="133"/>
  <c r="O18" i="133"/>
  <c r="N18" i="133"/>
  <c r="M18" i="133"/>
  <c r="L19" i="132"/>
  <c r="M19" i="132" s="1"/>
  <c r="N18" i="132"/>
  <c r="O18" i="132"/>
  <c r="B21" i="132"/>
  <c r="C22" i="132"/>
  <c r="A21" i="132"/>
  <c r="Y21" i="132"/>
  <c r="J20" i="132"/>
  <c r="K20" i="132"/>
  <c r="I20" i="132"/>
  <c r="H20" i="132"/>
  <c r="N19" i="130"/>
  <c r="O19" i="130"/>
  <c r="P19" i="130"/>
  <c r="K20" i="131"/>
  <c r="J20" i="131"/>
  <c r="I20" i="131"/>
  <c r="H20" i="131"/>
  <c r="B21" i="131"/>
  <c r="C22" i="131"/>
  <c r="A21" i="131"/>
  <c r="Y21" i="131"/>
  <c r="L19" i="131"/>
  <c r="T17" i="127"/>
  <c r="L20" i="130"/>
  <c r="T20" i="130" s="1"/>
  <c r="N19" i="129"/>
  <c r="O19" i="129"/>
  <c r="P19" i="129"/>
  <c r="Y22" i="130"/>
  <c r="B22" i="130"/>
  <c r="C23" i="130"/>
  <c r="A22" i="130"/>
  <c r="I21" i="130"/>
  <c r="H21" i="130"/>
  <c r="K21" i="130"/>
  <c r="J21" i="130"/>
  <c r="T18" i="129"/>
  <c r="Y22" i="129"/>
  <c r="B22" i="129"/>
  <c r="C23" i="129"/>
  <c r="A22" i="129"/>
  <c r="M18" i="126"/>
  <c r="L20" i="129"/>
  <c r="O18" i="126"/>
  <c r="I21" i="129"/>
  <c r="H21" i="129"/>
  <c r="K21" i="129"/>
  <c r="J21" i="129"/>
  <c r="M18" i="127"/>
  <c r="P19" i="125"/>
  <c r="O18" i="127"/>
  <c r="T17" i="128"/>
  <c r="L19" i="128"/>
  <c r="B21" i="128"/>
  <c r="C22" i="128"/>
  <c r="A21" i="128"/>
  <c r="Y21" i="128"/>
  <c r="N18" i="127"/>
  <c r="P18" i="128"/>
  <c r="O18" i="128"/>
  <c r="N18" i="128"/>
  <c r="M18" i="128"/>
  <c r="J20" i="128"/>
  <c r="K20" i="128"/>
  <c r="I20" i="128"/>
  <c r="H20" i="128"/>
  <c r="B21" i="127"/>
  <c r="C22" i="127"/>
  <c r="A21" i="127"/>
  <c r="Y21" i="127"/>
  <c r="L19" i="127"/>
  <c r="T19" i="127" s="1"/>
  <c r="K20" i="127"/>
  <c r="J20" i="127"/>
  <c r="I20" i="127"/>
  <c r="H20" i="127"/>
  <c r="T18" i="124"/>
  <c r="T18" i="125"/>
  <c r="L19" i="126"/>
  <c r="M19" i="126" s="1"/>
  <c r="N19" i="125"/>
  <c r="O19" i="125"/>
  <c r="B21" i="126"/>
  <c r="C22" i="126"/>
  <c r="A21" i="126"/>
  <c r="Y21" i="126"/>
  <c r="K20" i="126"/>
  <c r="J20" i="126"/>
  <c r="I20" i="126"/>
  <c r="H20" i="126"/>
  <c r="L20" i="125"/>
  <c r="O20" i="125" s="1"/>
  <c r="P19" i="124"/>
  <c r="N19" i="124"/>
  <c r="O19" i="124"/>
  <c r="M19" i="124"/>
  <c r="Y22" i="125"/>
  <c r="B22" i="125"/>
  <c r="C23" i="125"/>
  <c r="A22" i="125"/>
  <c r="I21" i="125"/>
  <c r="H21" i="125"/>
  <c r="K21" i="125"/>
  <c r="J21" i="125"/>
  <c r="Y22" i="124"/>
  <c r="C23" i="124"/>
  <c r="A22" i="124"/>
  <c r="B22" i="124"/>
  <c r="I21" i="124"/>
  <c r="H21" i="124"/>
  <c r="K21" i="124"/>
  <c r="J21" i="124"/>
  <c r="L20" i="124"/>
  <c r="M17" i="111"/>
  <c r="P17" i="111"/>
  <c r="O17" i="111"/>
  <c r="L19" i="111"/>
  <c r="H20" i="111"/>
  <c r="T20" i="111"/>
  <c r="K20" i="111"/>
  <c r="J20" i="111"/>
  <c r="I20" i="111"/>
  <c r="Y21" i="111"/>
  <c r="B21" i="111"/>
  <c r="C22" i="111"/>
  <c r="A21" i="111"/>
  <c r="P18" i="111"/>
  <c r="M18" i="111"/>
  <c r="O18" i="111"/>
  <c r="N18" i="111"/>
  <c r="T18" i="135" l="1"/>
  <c r="M19" i="135"/>
  <c r="N19" i="135"/>
  <c r="P19" i="135"/>
  <c r="O19" i="135"/>
  <c r="L20" i="135"/>
  <c r="Y22" i="135"/>
  <c r="B22" i="135"/>
  <c r="C23" i="135"/>
  <c r="A22" i="135"/>
  <c r="I21" i="135"/>
  <c r="H21" i="135"/>
  <c r="J21" i="135"/>
  <c r="K21" i="135"/>
  <c r="T19" i="129"/>
  <c r="T18" i="134"/>
  <c r="L20" i="134"/>
  <c r="O20" i="134" s="1"/>
  <c r="P19" i="133"/>
  <c r="N19" i="133"/>
  <c r="O19" i="133"/>
  <c r="M19" i="133"/>
  <c r="M19" i="134"/>
  <c r="P19" i="134"/>
  <c r="O19" i="134"/>
  <c r="N19" i="134"/>
  <c r="Y22" i="134"/>
  <c r="B22" i="134"/>
  <c r="C23" i="134"/>
  <c r="A22" i="134"/>
  <c r="I21" i="134"/>
  <c r="H21" i="134"/>
  <c r="K21" i="134"/>
  <c r="J21" i="134"/>
  <c r="T18" i="132"/>
  <c r="T18" i="133"/>
  <c r="N19" i="132"/>
  <c r="L20" i="133"/>
  <c r="O19" i="132"/>
  <c r="P19" i="132"/>
  <c r="I21" i="133"/>
  <c r="H21" i="133"/>
  <c r="K21" i="133"/>
  <c r="J21" i="133"/>
  <c r="Y22" i="133"/>
  <c r="B22" i="133"/>
  <c r="C23" i="133"/>
  <c r="A22" i="133"/>
  <c r="L20" i="132"/>
  <c r="N20" i="132" s="1"/>
  <c r="Y22" i="132"/>
  <c r="B22" i="132"/>
  <c r="C23" i="132"/>
  <c r="A22" i="132"/>
  <c r="I21" i="132"/>
  <c r="H21" i="132"/>
  <c r="K21" i="132"/>
  <c r="J21" i="132"/>
  <c r="T19" i="130"/>
  <c r="L20" i="131"/>
  <c r="O20" i="131" s="1"/>
  <c r="M19" i="131"/>
  <c r="P19" i="131"/>
  <c r="O19" i="131"/>
  <c r="N19" i="131"/>
  <c r="B22" i="131"/>
  <c r="C23" i="131"/>
  <c r="A22" i="131"/>
  <c r="Y22" i="131"/>
  <c r="I21" i="131"/>
  <c r="H21" i="131"/>
  <c r="K21" i="131"/>
  <c r="J21" i="131"/>
  <c r="T18" i="127"/>
  <c r="P20" i="130"/>
  <c r="M20" i="130"/>
  <c r="N20" i="130"/>
  <c r="O20" i="130"/>
  <c r="T18" i="126"/>
  <c r="L21" i="130"/>
  <c r="C24" i="130"/>
  <c r="A23" i="130"/>
  <c r="Y23" i="130"/>
  <c r="B23" i="130"/>
  <c r="K22" i="130"/>
  <c r="J22" i="130"/>
  <c r="I22" i="130"/>
  <c r="H22" i="130"/>
  <c r="M19" i="128"/>
  <c r="M20" i="129"/>
  <c r="P20" i="129"/>
  <c r="O20" i="129"/>
  <c r="N20" i="129"/>
  <c r="C24" i="129"/>
  <c r="A23" i="129"/>
  <c r="B23" i="129"/>
  <c r="Y23" i="129"/>
  <c r="K22" i="129"/>
  <c r="J22" i="129"/>
  <c r="I22" i="129"/>
  <c r="H22" i="129"/>
  <c r="L21" i="129"/>
  <c r="N19" i="128"/>
  <c r="O19" i="128"/>
  <c r="P19" i="128"/>
  <c r="L20" i="128"/>
  <c r="B22" i="128"/>
  <c r="C23" i="128"/>
  <c r="A22" i="128"/>
  <c r="Y22" i="128"/>
  <c r="T19" i="125"/>
  <c r="H21" i="128"/>
  <c r="K21" i="128"/>
  <c r="J21" i="128"/>
  <c r="I21" i="128"/>
  <c r="M19" i="127"/>
  <c r="P19" i="127"/>
  <c r="O19" i="127"/>
  <c r="N19" i="127"/>
  <c r="Y22" i="127"/>
  <c r="B22" i="127"/>
  <c r="C23" i="127"/>
  <c r="A22" i="127"/>
  <c r="L20" i="127"/>
  <c r="T20" i="127" s="1"/>
  <c r="I21" i="127"/>
  <c r="H21" i="127"/>
  <c r="K21" i="127"/>
  <c r="J21" i="127"/>
  <c r="P20" i="125"/>
  <c r="N19" i="126"/>
  <c r="M20" i="125"/>
  <c r="O19" i="126"/>
  <c r="N20" i="125"/>
  <c r="P19" i="126"/>
  <c r="Y22" i="126"/>
  <c r="B22" i="126"/>
  <c r="C23" i="126"/>
  <c r="A22" i="126"/>
  <c r="I21" i="126"/>
  <c r="H21" i="126"/>
  <c r="K21" i="126"/>
  <c r="J21" i="126"/>
  <c r="L20" i="126"/>
  <c r="C24" i="125"/>
  <c r="A23" i="125"/>
  <c r="Y23" i="125"/>
  <c r="B23" i="125"/>
  <c r="L21" i="125"/>
  <c r="K22" i="125"/>
  <c r="I22" i="125"/>
  <c r="H22" i="125"/>
  <c r="J22" i="125"/>
  <c r="L21" i="124"/>
  <c r="O21" i="124" s="1"/>
  <c r="O20" i="124"/>
  <c r="N20" i="124"/>
  <c r="P20" i="124"/>
  <c r="M20" i="124"/>
  <c r="C24" i="124"/>
  <c r="A23" i="124"/>
  <c r="Y23" i="124"/>
  <c r="B23" i="124"/>
  <c r="K22" i="124"/>
  <c r="J22" i="124"/>
  <c r="I22" i="124"/>
  <c r="H22" i="124"/>
  <c r="L20" i="111"/>
  <c r="P20" i="111" s="1"/>
  <c r="J21" i="111"/>
  <c r="K21" i="111"/>
  <c r="I21" i="111"/>
  <c r="H21" i="111"/>
  <c r="T21" i="111"/>
  <c r="N19" i="111"/>
  <c r="P19" i="111"/>
  <c r="O19" i="111"/>
  <c r="M19" i="111"/>
  <c r="C23" i="111"/>
  <c r="Y22" i="111"/>
  <c r="B22" i="111"/>
  <c r="A22" i="111"/>
  <c r="T20" i="129" l="1"/>
  <c r="T20" i="124"/>
  <c r="T19" i="128"/>
  <c r="L21" i="135"/>
  <c r="T21" i="135" s="1"/>
  <c r="T19" i="135"/>
  <c r="C24" i="135"/>
  <c r="A23" i="135"/>
  <c r="B23" i="135"/>
  <c r="Y23" i="135"/>
  <c r="K22" i="135"/>
  <c r="J22" i="135"/>
  <c r="I22" i="135"/>
  <c r="H22" i="135"/>
  <c r="O20" i="135"/>
  <c r="P20" i="135"/>
  <c r="N20" i="135"/>
  <c r="M20" i="135"/>
  <c r="T19" i="132"/>
  <c r="N20" i="134"/>
  <c r="P20" i="134"/>
  <c r="M20" i="134"/>
  <c r="T19" i="134"/>
  <c r="C24" i="134"/>
  <c r="A23" i="134"/>
  <c r="Y23" i="134"/>
  <c r="B23" i="134"/>
  <c r="K22" i="134"/>
  <c r="I22" i="134"/>
  <c r="H22" i="134"/>
  <c r="J22" i="134"/>
  <c r="L21" i="134"/>
  <c r="P20" i="132"/>
  <c r="M20" i="132"/>
  <c r="L21" i="133"/>
  <c r="P21" i="133" s="1"/>
  <c r="O20" i="132"/>
  <c r="C24" i="133"/>
  <c r="A23" i="133"/>
  <c r="Y23" i="133"/>
  <c r="B23" i="133"/>
  <c r="K22" i="133"/>
  <c r="I22" i="133"/>
  <c r="H22" i="133"/>
  <c r="J22" i="133"/>
  <c r="O20" i="133"/>
  <c r="N20" i="133"/>
  <c r="M20" i="133"/>
  <c r="P20" i="133"/>
  <c r="L21" i="132"/>
  <c r="T21" i="132" s="1"/>
  <c r="C24" i="132"/>
  <c r="A23" i="132"/>
  <c r="Y23" i="132"/>
  <c r="B23" i="132"/>
  <c r="K22" i="132"/>
  <c r="I22" i="132"/>
  <c r="H22" i="132"/>
  <c r="J22" i="132"/>
  <c r="N20" i="131"/>
  <c r="P20" i="131"/>
  <c r="M20" i="131"/>
  <c r="T19" i="131"/>
  <c r="L21" i="131"/>
  <c r="C24" i="131"/>
  <c r="A23" i="131"/>
  <c r="Y23" i="131"/>
  <c r="B23" i="131"/>
  <c r="K22" i="131"/>
  <c r="J22" i="131"/>
  <c r="I22" i="131"/>
  <c r="H22" i="131"/>
  <c r="K23" i="130"/>
  <c r="J23" i="130"/>
  <c r="I23" i="130"/>
  <c r="H23" i="130"/>
  <c r="B24" i="130"/>
  <c r="C25" i="130"/>
  <c r="A24" i="130"/>
  <c r="Y24" i="130"/>
  <c r="L22" i="130"/>
  <c r="P21" i="130"/>
  <c r="O21" i="130"/>
  <c r="N21" i="130"/>
  <c r="M21" i="130"/>
  <c r="K23" i="129"/>
  <c r="I23" i="129"/>
  <c r="H23" i="129"/>
  <c r="J23" i="129"/>
  <c r="B24" i="129"/>
  <c r="C25" i="129"/>
  <c r="A24" i="129"/>
  <c r="Y24" i="129"/>
  <c r="O21" i="129"/>
  <c r="M21" i="129"/>
  <c r="P21" i="129"/>
  <c r="N21" i="129"/>
  <c r="L22" i="129"/>
  <c r="T22" i="129" s="1"/>
  <c r="T19" i="126"/>
  <c r="L21" i="128"/>
  <c r="O21" i="128" s="1"/>
  <c r="C24" i="128"/>
  <c r="A23" i="128"/>
  <c r="Y23" i="128"/>
  <c r="B23" i="128"/>
  <c r="K22" i="128"/>
  <c r="J22" i="128"/>
  <c r="I22" i="128"/>
  <c r="H22" i="128"/>
  <c r="O20" i="128"/>
  <c r="M20" i="128"/>
  <c r="P20" i="128"/>
  <c r="N20" i="128"/>
  <c r="P21" i="124"/>
  <c r="L21" i="127"/>
  <c r="C24" i="127"/>
  <c r="A23" i="127"/>
  <c r="Y23" i="127"/>
  <c r="B23" i="127"/>
  <c r="K22" i="127"/>
  <c r="J22" i="127"/>
  <c r="I22" i="127"/>
  <c r="H22" i="127"/>
  <c r="O20" i="127"/>
  <c r="N20" i="127"/>
  <c r="M20" i="127"/>
  <c r="P20" i="127"/>
  <c r="L21" i="126"/>
  <c r="P21" i="126" s="1"/>
  <c r="T20" i="125"/>
  <c r="C24" i="126"/>
  <c r="A23" i="126"/>
  <c r="Y23" i="126"/>
  <c r="B23" i="126"/>
  <c r="N21" i="124"/>
  <c r="O20" i="126"/>
  <c r="N20" i="126"/>
  <c r="M20" i="126"/>
  <c r="P20" i="126"/>
  <c r="K22" i="126"/>
  <c r="J22" i="126"/>
  <c r="I22" i="126"/>
  <c r="H22" i="126"/>
  <c r="M21" i="124"/>
  <c r="L22" i="125"/>
  <c r="P22" i="125" s="1"/>
  <c r="P21" i="125"/>
  <c r="O21" i="125"/>
  <c r="N21" i="125"/>
  <c r="M21" i="125"/>
  <c r="K23" i="125"/>
  <c r="J23" i="125"/>
  <c r="I23" i="125"/>
  <c r="H23" i="125"/>
  <c r="C25" i="125"/>
  <c r="A24" i="125"/>
  <c r="Y24" i="125"/>
  <c r="B24" i="125"/>
  <c r="L22" i="124"/>
  <c r="K23" i="124"/>
  <c r="J23" i="124"/>
  <c r="I23" i="124"/>
  <c r="H23" i="124"/>
  <c r="B24" i="124"/>
  <c r="C25" i="124"/>
  <c r="A24" i="124"/>
  <c r="Y24" i="124"/>
  <c r="M20" i="111"/>
  <c r="N20" i="111"/>
  <c r="O20" i="111"/>
  <c r="H22" i="111"/>
  <c r="J22" i="111"/>
  <c r="I22" i="111"/>
  <c r="T22" i="111"/>
  <c r="K22" i="111"/>
  <c r="L21" i="111"/>
  <c r="B23" i="111"/>
  <c r="Y23" i="111"/>
  <c r="A23" i="111"/>
  <c r="C24" i="111"/>
  <c r="T21" i="130" l="1"/>
  <c r="T20" i="133"/>
  <c r="N21" i="135"/>
  <c r="O21" i="135"/>
  <c r="P21" i="135"/>
  <c r="M21" i="135"/>
  <c r="L22" i="135"/>
  <c r="T20" i="135"/>
  <c r="T20" i="134"/>
  <c r="K23" i="135"/>
  <c r="J23" i="135"/>
  <c r="I23" i="135"/>
  <c r="H23" i="135"/>
  <c r="B24" i="135"/>
  <c r="C25" i="135"/>
  <c r="A24" i="135"/>
  <c r="Y24" i="135"/>
  <c r="T20" i="132"/>
  <c r="L22" i="134"/>
  <c r="O22" i="134" s="1"/>
  <c r="K23" i="134"/>
  <c r="J23" i="134"/>
  <c r="I23" i="134"/>
  <c r="H23" i="134"/>
  <c r="P21" i="134"/>
  <c r="O21" i="134"/>
  <c r="N21" i="134"/>
  <c r="M21" i="134"/>
  <c r="B24" i="134"/>
  <c r="C25" i="134"/>
  <c r="A24" i="134"/>
  <c r="Y24" i="134"/>
  <c r="L22" i="133"/>
  <c r="P22" i="133" s="1"/>
  <c r="M21" i="133"/>
  <c r="N21" i="133"/>
  <c r="O21" i="133"/>
  <c r="M21" i="132"/>
  <c r="N21" i="132"/>
  <c r="O21" i="132"/>
  <c r="B24" i="133"/>
  <c r="C25" i="133"/>
  <c r="A24" i="133"/>
  <c r="Y24" i="133"/>
  <c r="P21" i="132"/>
  <c r="K23" i="133"/>
  <c r="J23" i="133"/>
  <c r="I23" i="133"/>
  <c r="H23" i="133"/>
  <c r="L22" i="132"/>
  <c r="T20" i="131"/>
  <c r="K23" i="132"/>
  <c r="J23" i="132"/>
  <c r="I23" i="132"/>
  <c r="H23" i="132"/>
  <c r="B24" i="132"/>
  <c r="C25" i="132"/>
  <c r="A24" i="132"/>
  <c r="Y24" i="132"/>
  <c r="L23" i="130"/>
  <c r="M23" i="130" s="1"/>
  <c r="K23" i="131"/>
  <c r="J23" i="131"/>
  <c r="I23" i="131"/>
  <c r="H23" i="131"/>
  <c r="B24" i="131"/>
  <c r="C25" i="131"/>
  <c r="A24" i="131"/>
  <c r="Y24" i="131"/>
  <c r="L22" i="131"/>
  <c r="O21" i="131"/>
  <c r="N21" i="131"/>
  <c r="M21" i="131"/>
  <c r="P21" i="131"/>
  <c r="B25" i="130"/>
  <c r="C26" i="130"/>
  <c r="A25" i="130"/>
  <c r="Y25" i="130"/>
  <c r="K24" i="130"/>
  <c r="J24" i="130"/>
  <c r="I24" i="130"/>
  <c r="H24" i="130"/>
  <c r="P22" i="130"/>
  <c r="O22" i="130"/>
  <c r="N22" i="130"/>
  <c r="M22" i="130"/>
  <c r="T21" i="124"/>
  <c r="M21" i="127"/>
  <c r="N21" i="127"/>
  <c r="T21" i="129"/>
  <c r="L23" i="129"/>
  <c r="O21" i="127"/>
  <c r="P21" i="128"/>
  <c r="P21" i="127"/>
  <c r="M21" i="128"/>
  <c r="C26" i="129"/>
  <c r="A25" i="129"/>
  <c r="Y25" i="129"/>
  <c r="B25" i="129"/>
  <c r="O22" i="129"/>
  <c r="N22" i="129"/>
  <c r="M22" i="129"/>
  <c r="P22" i="129"/>
  <c r="K24" i="129"/>
  <c r="J24" i="129"/>
  <c r="I24" i="129"/>
  <c r="H24" i="129"/>
  <c r="T20" i="128"/>
  <c r="N21" i="128"/>
  <c r="L22" i="128"/>
  <c r="N22" i="128" s="1"/>
  <c r="K23" i="128"/>
  <c r="J23" i="128"/>
  <c r="I23" i="128"/>
  <c r="H23" i="128"/>
  <c r="N21" i="126"/>
  <c r="C25" i="128"/>
  <c r="A24" i="128"/>
  <c r="Y24" i="128"/>
  <c r="B24" i="128"/>
  <c r="T20" i="126"/>
  <c r="M21" i="126"/>
  <c r="O21" i="126"/>
  <c r="L22" i="127"/>
  <c r="K23" i="127"/>
  <c r="J23" i="127"/>
  <c r="I23" i="127"/>
  <c r="H23" i="127"/>
  <c r="B24" i="127"/>
  <c r="C25" i="127"/>
  <c r="A24" i="127"/>
  <c r="Y24" i="127"/>
  <c r="N22" i="125"/>
  <c r="M22" i="125"/>
  <c r="K23" i="126"/>
  <c r="J23" i="126"/>
  <c r="I23" i="126"/>
  <c r="H23" i="126"/>
  <c r="O22" i="125"/>
  <c r="B24" i="126"/>
  <c r="C25" i="126"/>
  <c r="A24" i="126"/>
  <c r="Y24" i="126"/>
  <c r="L22" i="126"/>
  <c r="L23" i="125"/>
  <c r="T23" i="125" s="1"/>
  <c r="T21" i="125"/>
  <c r="B25" i="125"/>
  <c r="C26" i="125"/>
  <c r="A25" i="125"/>
  <c r="Y25" i="125"/>
  <c r="K24" i="125"/>
  <c r="J24" i="125"/>
  <c r="I24" i="125"/>
  <c r="H24" i="125"/>
  <c r="Y25" i="124"/>
  <c r="B25" i="124"/>
  <c r="C26" i="124"/>
  <c r="A25" i="124"/>
  <c r="K24" i="124"/>
  <c r="H24" i="124"/>
  <c r="J24" i="124"/>
  <c r="I24" i="124"/>
  <c r="L23" i="124"/>
  <c r="P22" i="124"/>
  <c r="M22" i="124"/>
  <c r="O22" i="124"/>
  <c r="N22" i="124"/>
  <c r="C25" i="111"/>
  <c r="Y24" i="111"/>
  <c r="A24" i="111"/>
  <c r="B24" i="111"/>
  <c r="N21" i="111"/>
  <c r="M21" i="111"/>
  <c r="O21" i="111"/>
  <c r="P21" i="111"/>
  <c r="J23" i="111"/>
  <c r="T23" i="111"/>
  <c r="K23" i="111"/>
  <c r="I23" i="111"/>
  <c r="H23" i="111"/>
  <c r="L22" i="111"/>
  <c r="T21" i="134" l="1"/>
  <c r="T21" i="127"/>
  <c r="N22" i="135"/>
  <c r="O22" i="135"/>
  <c r="M22" i="135"/>
  <c r="P22" i="135"/>
  <c r="N23" i="130"/>
  <c r="P23" i="130"/>
  <c r="O23" i="130"/>
  <c r="N22" i="134"/>
  <c r="M22" i="133"/>
  <c r="P22" i="134"/>
  <c r="M22" i="134"/>
  <c r="Y25" i="135"/>
  <c r="B25" i="135"/>
  <c r="C26" i="135"/>
  <c r="A25" i="135"/>
  <c r="H24" i="135"/>
  <c r="K24" i="135"/>
  <c r="J24" i="135"/>
  <c r="I24" i="135"/>
  <c r="L23" i="135"/>
  <c r="L23" i="134"/>
  <c r="T23" i="134" s="1"/>
  <c r="B25" i="134"/>
  <c r="C26" i="134"/>
  <c r="A25" i="134"/>
  <c r="Y25" i="134"/>
  <c r="K24" i="134"/>
  <c r="J24" i="134"/>
  <c r="I24" i="134"/>
  <c r="H24" i="134"/>
  <c r="N22" i="133"/>
  <c r="O22" i="133"/>
  <c r="T21" i="133"/>
  <c r="N22" i="132"/>
  <c r="M22" i="132"/>
  <c r="L23" i="133"/>
  <c r="O22" i="132"/>
  <c r="B25" i="133"/>
  <c r="C26" i="133"/>
  <c r="A25" i="133"/>
  <c r="Y25" i="133"/>
  <c r="P22" i="132"/>
  <c r="K24" i="133"/>
  <c r="J24" i="133"/>
  <c r="I24" i="133"/>
  <c r="H24" i="133"/>
  <c r="L23" i="132"/>
  <c r="M23" i="132" s="1"/>
  <c r="T22" i="130"/>
  <c r="B25" i="132"/>
  <c r="C26" i="132"/>
  <c r="A25" i="132"/>
  <c r="Y25" i="132"/>
  <c r="K24" i="132"/>
  <c r="J24" i="132"/>
  <c r="I24" i="132"/>
  <c r="H24" i="132"/>
  <c r="T21" i="128"/>
  <c r="O23" i="129"/>
  <c r="T21" i="131"/>
  <c r="L23" i="131"/>
  <c r="M23" i="131" s="1"/>
  <c r="B25" i="131"/>
  <c r="C26" i="131"/>
  <c r="A25" i="131"/>
  <c r="Y25" i="131"/>
  <c r="J24" i="131"/>
  <c r="K24" i="131"/>
  <c r="I24" i="131"/>
  <c r="H24" i="131"/>
  <c r="N22" i="131"/>
  <c r="P22" i="131"/>
  <c r="O22" i="131"/>
  <c r="M22" i="131"/>
  <c r="M23" i="129"/>
  <c r="T23" i="129" s="1"/>
  <c r="L24" i="130"/>
  <c r="O24" i="130" s="1"/>
  <c r="T21" i="126"/>
  <c r="N23" i="129"/>
  <c r="Y26" i="130"/>
  <c r="B26" i="130"/>
  <c r="C27" i="130"/>
  <c r="A26" i="130"/>
  <c r="P23" i="129"/>
  <c r="I25" i="130"/>
  <c r="H25" i="130"/>
  <c r="K25" i="130"/>
  <c r="J25" i="130"/>
  <c r="L24" i="129"/>
  <c r="O24" i="129" s="1"/>
  <c r="P22" i="128"/>
  <c r="O22" i="128"/>
  <c r="I25" i="129"/>
  <c r="K25" i="129"/>
  <c r="J25" i="129"/>
  <c r="H25" i="129"/>
  <c r="M22" i="128"/>
  <c r="B26" i="129"/>
  <c r="C27" i="129"/>
  <c r="A26" i="129"/>
  <c r="Y26" i="129"/>
  <c r="N22" i="127"/>
  <c r="L23" i="128"/>
  <c r="P23" i="128" s="1"/>
  <c r="B25" i="128"/>
  <c r="C26" i="128"/>
  <c r="A25" i="128"/>
  <c r="Y25" i="128"/>
  <c r="M22" i="127"/>
  <c r="T22" i="127" s="1"/>
  <c r="J24" i="128"/>
  <c r="K24" i="128"/>
  <c r="I24" i="128"/>
  <c r="H24" i="128"/>
  <c r="O22" i="127"/>
  <c r="P22" i="127"/>
  <c r="L23" i="127"/>
  <c r="P23" i="127" s="1"/>
  <c r="B25" i="127"/>
  <c r="C26" i="127"/>
  <c r="A25" i="127"/>
  <c r="Y25" i="127"/>
  <c r="K24" i="127"/>
  <c r="J24" i="127"/>
  <c r="I24" i="127"/>
  <c r="H24" i="127"/>
  <c r="O23" i="125"/>
  <c r="M23" i="125"/>
  <c r="K24" i="126"/>
  <c r="J24" i="126"/>
  <c r="I24" i="126"/>
  <c r="H24" i="126"/>
  <c r="N23" i="125"/>
  <c r="L23" i="126"/>
  <c r="T23" i="126" s="1"/>
  <c r="P23" i="125"/>
  <c r="P22" i="126"/>
  <c r="O22" i="126"/>
  <c r="N22" i="126"/>
  <c r="M22" i="126"/>
  <c r="L24" i="125"/>
  <c r="B25" i="126"/>
  <c r="C26" i="126"/>
  <c r="A25" i="126"/>
  <c r="Y25" i="126"/>
  <c r="T22" i="125"/>
  <c r="Y26" i="125"/>
  <c r="B26" i="125"/>
  <c r="C27" i="125"/>
  <c r="A26" i="125"/>
  <c r="I25" i="125"/>
  <c r="H25" i="125"/>
  <c r="K25" i="125"/>
  <c r="J25" i="125"/>
  <c r="T22" i="124"/>
  <c r="Y26" i="124"/>
  <c r="C27" i="124"/>
  <c r="B26" i="124"/>
  <c r="A26" i="124"/>
  <c r="M23" i="124"/>
  <c r="O23" i="124"/>
  <c r="P23" i="124"/>
  <c r="N23" i="124"/>
  <c r="I25" i="124"/>
  <c r="H25" i="124"/>
  <c r="J25" i="124"/>
  <c r="K25" i="124"/>
  <c r="L24" i="124"/>
  <c r="P22" i="111"/>
  <c r="O22" i="111"/>
  <c r="N22" i="111"/>
  <c r="M22" i="111"/>
  <c r="L23" i="111"/>
  <c r="H24" i="111"/>
  <c r="K24" i="111"/>
  <c r="J24" i="111"/>
  <c r="I24" i="111"/>
  <c r="T24" i="111"/>
  <c r="Y25" i="111"/>
  <c r="B25" i="111"/>
  <c r="C26" i="111"/>
  <c r="A25" i="111"/>
  <c r="T22" i="135" l="1"/>
  <c r="T23" i="130"/>
  <c r="T22" i="132"/>
  <c r="T22" i="134"/>
  <c r="N23" i="134"/>
  <c r="O23" i="134"/>
  <c r="P23" i="134"/>
  <c r="M23" i="134"/>
  <c r="Y26" i="135"/>
  <c r="B26" i="135"/>
  <c r="C27" i="135"/>
  <c r="A26" i="135"/>
  <c r="M23" i="135"/>
  <c r="N23" i="135"/>
  <c r="P23" i="135"/>
  <c r="O23" i="135"/>
  <c r="I25" i="135"/>
  <c r="H25" i="135"/>
  <c r="J25" i="135"/>
  <c r="K25" i="135"/>
  <c r="T22" i="133"/>
  <c r="L24" i="135"/>
  <c r="N23" i="127"/>
  <c r="L24" i="134"/>
  <c r="O23" i="132"/>
  <c r="Y26" i="134"/>
  <c r="B26" i="134"/>
  <c r="C27" i="134"/>
  <c r="A26" i="134"/>
  <c r="I25" i="134"/>
  <c r="H25" i="134"/>
  <c r="K25" i="134"/>
  <c r="J25" i="134"/>
  <c r="N23" i="132"/>
  <c r="P23" i="132"/>
  <c r="O23" i="131"/>
  <c r="Y26" i="133"/>
  <c r="B26" i="133"/>
  <c r="C27" i="133"/>
  <c r="A26" i="133"/>
  <c r="L24" i="133"/>
  <c r="I25" i="133"/>
  <c r="H25" i="133"/>
  <c r="K25" i="133"/>
  <c r="J25" i="133"/>
  <c r="M23" i="133"/>
  <c r="P23" i="133"/>
  <c r="O23" i="133"/>
  <c r="N23" i="133"/>
  <c r="N23" i="131"/>
  <c r="P23" i="131"/>
  <c r="L24" i="132"/>
  <c r="P24" i="132" s="1"/>
  <c r="M24" i="130"/>
  <c r="Y26" i="132"/>
  <c r="B26" i="132"/>
  <c r="C27" i="132"/>
  <c r="A26" i="132"/>
  <c r="I25" i="132"/>
  <c r="H25" i="132"/>
  <c r="K25" i="132"/>
  <c r="J25" i="132"/>
  <c r="P24" i="130"/>
  <c r="T22" i="131"/>
  <c r="N23" i="128"/>
  <c r="N24" i="130"/>
  <c r="L24" i="131"/>
  <c r="T24" i="131" s="1"/>
  <c r="M23" i="128"/>
  <c r="Y26" i="131"/>
  <c r="B26" i="131"/>
  <c r="C27" i="131"/>
  <c r="A26" i="131"/>
  <c r="I25" i="131"/>
  <c r="H25" i="131"/>
  <c r="K25" i="131"/>
  <c r="J25" i="131"/>
  <c r="N24" i="129"/>
  <c r="T22" i="128"/>
  <c r="O23" i="128"/>
  <c r="L25" i="130"/>
  <c r="O25" i="130" s="1"/>
  <c r="M23" i="127"/>
  <c r="C28" i="130"/>
  <c r="A27" i="130"/>
  <c r="Y27" i="130"/>
  <c r="B27" i="130"/>
  <c r="K26" i="130"/>
  <c r="J26" i="130"/>
  <c r="I26" i="130"/>
  <c r="H26" i="130"/>
  <c r="P24" i="129"/>
  <c r="M24" i="129"/>
  <c r="O23" i="127"/>
  <c r="L25" i="129"/>
  <c r="P25" i="129" s="1"/>
  <c r="C28" i="129"/>
  <c r="A27" i="129"/>
  <c r="Y27" i="129"/>
  <c r="B27" i="129"/>
  <c r="K26" i="129"/>
  <c r="J26" i="129"/>
  <c r="I26" i="129"/>
  <c r="H26" i="129"/>
  <c r="L24" i="128"/>
  <c r="O24" i="128" s="1"/>
  <c r="M24" i="125"/>
  <c r="O24" i="125"/>
  <c r="Y26" i="128"/>
  <c r="B26" i="128"/>
  <c r="C27" i="128"/>
  <c r="A26" i="128"/>
  <c r="I25" i="128"/>
  <c r="H25" i="128"/>
  <c r="K25" i="128"/>
  <c r="J25" i="128"/>
  <c r="L24" i="127"/>
  <c r="Y26" i="127"/>
  <c r="B26" i="127"/>
  <c r="C27" i="127"/>
  <c r="A26" i="127"/>
  <c r="I25" i="127"/>
  <c r="H25" i="127"/>
  <c r="K25" i="127"/>
  <c r="J25" i="127"/>
  <c r="P24" i="125"/>
  <c r="N24" i="125"/>
  <c r="T22" i="126"/>
  <c r="L24" i="126"/>
  <c r="Y26" i="126"/>
  <c r="B26" i="126"/>
  <c r="C27" i="126"/>
  <c r="A26" i="126"/>
  <c r="M23" i="126"/>
  <c r="P23" i="126"/>
  <c r="O23" i="126"/>
  <c r="N23" i="126"/>
  <c r="I25" i="126"/>
  <c r="H25" i="126"/>
  <c r="K25" i="126"/>
  <c r="J25" i="126"/>
  <c r="C28" i="125"/>
  <c r="A27" i="125"/>
  <c r="Y27" i="125"/>
  <c r="B27" i="125"/>
  <c r="K26" i="125"/>
  <c r="J26" i="125"/>
  <c r="I26" i="125"/>
  <c r="H26" i="125"/>
  <c r="T23" i="124"/>
  <c r="L25" i="125"/>
  <c r="L25" i="124"/>
  <c r="P25" i="124" s="1"/>
  <c r="O24" i="124"/>
  <c r="N24" i="124"/>
  <c r="M24" i="124"/>
  <c r="P24" i="124"/>
  <c r="K26" i="124"/>
  <c r="J26" i="124"/>
  <c r="I26" i="124"/>
  <c r="H26" i="124"/>
  <c r="C28" i="124"/>
  <c r="A27" i="124"/>
  <c r="Y27" i="124"/>
  <c r="B27" i="124"/>
  <c r="Y26" i="111"/>
  <c r="A26" i="111"/>
  <c r="B26" i="111"/>
  <c r="C27" i="111"/>
  <c r="J25" i="111"/>
  <c r="K25" i="111"/>
  <c r="H25" i="111"/>
  <c r="I25" i="111"/>
  <c r="T25" i="111"/>
  <c r="N23" i="111"/>
  <c r="O23" i="111"/>
  <c r="P23" i="111"/>
  <c r="M23" i="111"/>
  <c r="L24" i="111"/>
  <c r="T24" i="125" l="1"/>
  <c r="N24" i="134"/>
  <c r="P24" i="134"/>
  <c r="M24" i="134"/>
  <c r="O24" i="134"/>
  <c r="T23" i="132"/>
  <c r="T24" i="130"/>
  <c r="T23" i="135"/>
  <c r="T23" i="127"/>
  <c r="L25" i="135"/>
  <c r="P25" i="135" s="1"/>
  <c r="L25" i="134"/>
  <c r="P25" i="134" s="1"/>
  <c r="O24" i="135"/>
  <c r="N24" i="135"/>
  <c r="M24" i="135"/>
  <c r="P24" i="135"/>
  <c r="C28" i="135"/>
  <c r="A27" i="135"/>
  <c r="B27" i="135"/>
  <c r="Y27" i="135"/>
  <c r="K26" i="135"/>
  <c r="J26" i="135"/>
  <c r="I26" i="135"/>
  <c r="H26" i="135"/>
  <c r="C28" i="134"/>
  <c r="A27" i="134"/>
  <c r="Y27" i="134"/>
  <c r="B27" i="134"/>
  <c r="K26" i="134"/>
  <c r="J26" i="134"/>
  <c r="I26" i="134"/>
  <c r="H26" i="134"/>
  <c r="M24" i="132"/>
  <c r="O24" i="132"/>
  <c r="T23" i="133"/>
  <c r="T23" i="131"/>
  <c r="N24" i="132"/>
  <c r="L25" i="133"/>
  <c r="O24" i="133"/>
  <c r="N24" i="133"/>
  <c r="M24" i="133"/>
  <c r="P24" i="133"/>
  <c r="C28" i="133"/>
  <c r="A27" i="133"/>
  <c r="Y27" i="133"/>
  <c r="B27" i="133"/>
  <c r="K26" i="133"/>
  <c r="J26" i="133"/>
  <c r="I26" i="133"/>
  <c r="H26" i="133"/>
  <c r="M25" i="130"/>
  <c r="N25" i="130"/>
  <c r="P25" i="130"/>
  <c r="C28" i="132"/>
  <c r="A27" i="132"/>
  <c r="Y27" i="132"/>
  <c r="B27" i="132"/>
  <c r="K26" i="132"/>
  <c r="J26" i="132"/>
  <c r="I26" i="132"/>
  <c r="H26" i="132"/>
  <c r="T23" i="128"/>
  <c r="L25" i="132"/>
  <c r="O24" i="131"/>
  <c r="T24" i="129"/>
  <c r="N24" i="131"/>
  <c r="P24" i="131"/>
  <c r="M24" i="131"/>
  <c r="C28" i="131"/>
  <c r="A27" i="131"/>
  <c r="Y27" i="131"/>
  <c r="B27" i="131"/>
  <c r="K26" i="131"/>
  <c r="J26" i="131"/>
  <c r="I26" i="131"/>
  <c r="H26" i="131"/>
  <c r="L25" i="131"/>
  <c r="N24" i="128"/>
  <c r="K27" i="130"/>
  <c r="J27" i="130"/>
  <c r="I27" i="130"/>
  <c r="H27" i="130"/>
  <c r="B28" i="130"/>
  <c r="C29" i="130"/>
  <c r="A28" i="130"/>
  <c r="Y28" i="130"/>
  <c r="L26" i="130"/>
  <c r="N25" i="129"/>
  <c r="L26" i="129"/>
  <c r="P26" i="129" s="1"/>
  <c r="M25" i="129"/>
  <c r="O25" i="129"/>
  <c r="P24" i="128"/>
  <c r="M24" i="128"/>
  <c r="P24" i="126"/>
  <c r="N24" i="126"/>
  <c r="O24" i="127"/>
  <c r="K27" i="129"/>
  <c r="J27" i="129"/>
  <c r="I27" i="129"/>
  <c r="H27" i="129"/>
  <c r="C29" i="129"/>
  <c r="A28" i="129"/>
  <c r="Y28" i="129"/>
  <c r="B28" i="129"/>
  <c r="L25" i="127"/>
  <c r="M25" i="127" s="1"/>
  <c r="P24" i="127"/>
  <c r="N24" i="127"/>
  <c r="M24" i="127"/>
  <c r="M24" i="126"/>
  <c r="K26" i="128"/>
  <c r="J26" i="128"/>
  <c r="I26" i="128"/>
  <c r="H26" i="128"/>
  <c r="C28" i="128"/>
  <c r="A27" i="128"/>
  <c r="Y27" i="128"/>
  <c r="B27" i="128"/>
  <c r="L25" i="128"/>
  <c r="T25" i="128" s="1"/>
  <c r="C28" i="127"/>
  <c r="A27" i="127"/>
  <c r="Y27" i="127"/>
  <c r="B27" i="127"/>
  <c r="K26" i="127"/>
  <c r="J26" i="127"/>
  <c r="I26" i="127"/>
  <c r="H26" i="127"/>
  <c r="O24" i="126"/>
  <c r="M25" i="124"/>
  <c r="T24" i="124"/>
  <c r="N25" i="124"/>
  <c r="O25" i="124"/>
  <c r="L26" i="125"/>
  <c r="O26" i="125" s="1"/>
  <c r="C28" i="126"/>
  <c r="A27" i="126"/>
  <c r="Y27" i="126"/>
  <c r="B27" i="126"/>
  <c r="L25" i="126"/>
  <c r="K26" i="126"/>
  <c r="I26" i="126"/>
  <c r="H26" i="126"/>
  <c r="J26" i="126"/>
  <c r="K27" i="125"/>
  <c r="J27" i="125"/>
  <c r="I27" i="125"/>
  <c r="H27" i="125"/>
  <c r="P25" i="125"/>
  <c r="O25" i="125"/>
  <c r="N25" i="125"/>
  <c r="M25" i="125"/>
  <c r="B28" i="125"/>
  <c r="C29" i="125"/>
  <c r="A28" i="125"/>
  <c r="Y28" i="125"/>
  <c r="L26" i="124"/>
  <c r="T26" i="124" s="1"/>
  <c r="B28" i="124"/>
  <c r="C29" i="124"/>
  <c r="A28" i="124"/>
  <c r="Y28" i="124"/>
  <c r="K27" i="124"/>
  <c r="J27" i="124"/>
  <c r="I27" i="124"/>
  <c r="H27" i="124"/>
  <c r="L25" i="111"/>
  <c r="M25" i="111" s="1"/>
  <c r="H26" i="111"/>
  <c r="T26" i="111"/>
  <c r="I26" i="111"/>
  <c r="K26" i="111"/>
  <c r="J26" i="111"/>
  <c r="P24" i="111"/>
  <c r="N24" i="111"/>
  <c r="M24" i="111"/>
  <c r="O24" i="111"/>
  <c r="B27" i="111"/>
  <c r="Y27" i="111"/>
  <c r="C28" i="111"/>
  <c r="A27" i="111"/>
  <c r="T24" i="134" l="1"/>
  <c r="T25" i="130"/>
  <c r="T24" i="127"/>
  <c r="T24" i="126"/>
  <c r="N25" i="135"/>
  <c r="M25" i="134"/>
  <c r="M25" i="135"/>
  <c r="O25" i="135"/>
  <c r="T24" i="128"/>
  <c r="N25" i="134"/>
  <c r="O25" i="134"/>
  <c r="T24" i="135"/>
  <c r="K27" i="135"/>
  <c r="J27" i="135"/>
  <c r="I27" i="135"/>
  <c r="H27" i="135"/>
  <c r="B28" i="135"/>
  <c r="C29" i="135"/>
  <c r="A28" i="135"/>
  <c r="Y28" i="135"/>
  <c r="L26" i="135"/>
  <c r="K27" i="134"/>
  <c r="J27" i="134"/>
  <c r="I27" i="134"/>
  <c r="H27" i="134"/>
  <c r="T24" i="132"/>
  <c r="B28" i="134"/>
  <c r="C29" i="134"/>
  <c r="A28" i="134"/>
  <c r="Y28" i="134"/>
  <c r="L26" i="134"/>
  <c r="T24" i="133"/>
  <c r="L26" i="133"/>
  <c r="T26" i="133" s="1"/>
  <c r="C29" i="133"/>
  <c r="A28" i="133"/>
  <c r="Y28" i="133"/>
  <c r="B28" i="133"/>
  <c r="K27" i="133"/>
  <c r="J27" i="133"/>
  <c r="I27" i="133"/>
  <c r="H27" i="133"/>
  <c r="P25" i="133"/>
  <c r="O25" i="133"/>
  <c r="N25" i="133"/>
  <c r="M25" i="133"/>
  <c r="L26" i="132"/>
  <c r="O26" i="132" s="1"/>
  <c r="K27" i="132"/>
  <c r="J27" i="132"/>
  <c r="I27" i="132"/>
  <c r="H27" i="132"/>
  <c r="P25" i="132"/>
  <c r="O25" i="132"/>
  <c r="N25" i="132"/>
  <c r="M25" i="132"/>
  <c r="B28" i="132"/>
  <c r="C29" i="132"/>
  <c r="A28" i="132"/>
  <c r="Y28" i="132"/>
  <c r="O26" i="129"/>
  <c r="L26" i="131"/>
  <c r="P26" i="131" s="1"/>
  <c r="T25" i="124"/>
  <c r="K27" i="131"/>
  <c r="J27" i="131"/>
  <c r="I27" i="131"/>
  <c r="H27" i="131"/>
  <c r="P25" i="131"/>
  <c r="O25" i="131"/>
  <c r="N25" i="131"/>
  <c r="M25" i="131"/>
  <c r="T25" i="129"/>
  <c r="B28" i="131"/>
  <c r="C29" i="131"/>
  <c r="A28" i="131"/>
  <c r="Y28" i="131"/>
  <c r="L27" i="130"/>
  <c r="T27" i="130" s="1"/>
  <c r="O25" i="127"/>
  <c r="B29" i="130"/>
  <c r="C30" i="130"/>
  <c r="A29" i="130"/>
  <c r="Y29" i="130"/>
  <c r="K28" i="130"/>
  <c r="J28" i="130"/>
  <c r="I28" i="130"/>
  <c r="H28" i="130"/>
  <c r="P26" i="130"/>
  <c r="O26" i="130"/>
  <c r="N26" i="130"/>
  <c r="M26" i="130"/>
  <c r="M26" i="129"/>
  <c r="N26" i="129"/>
  <c r="N25" i="127"/>
  <c r="B29" i="129"/>
  <c r="C30" i="129"/>
  <c r="A29" i="129"/>
  <c r="Y29" i="129"/>
  <c r="P25" i="127"/>
  <c r="L27" i="129"/>
  <c r="M26" i="125"/>
  <c r="K28" i="129"/>
  <c r="J28" i="129"/>
  <c r="I28" i="129"/>
  <c r="H28" i="129"/>
  <c r="P26" i="125"/>
  <c r="L26" i="128"/>
  <c r="N26" i="125"/>
  <c r="B28" i="128"/>
  <c r="C29" i="128"/>
  <c r="A28" i="128"/>
  <c r="Y28" i="128"/>
  <c r="O25" i="128"/>
  <c r="N25" i="128"/>
  <c r="M25" i="128"/>
  <c r="P25" i="128"/>
  <c r="K27" i="128"/>
  <c r="H27" i="128"/>
  <c r="J27" i="128"/>
  <c r="I27" i="128"/>
  <c r="L26" i="127"/>
  <c r="P26" i="127" s="1"/>
  <c r="K27" i="127"/>
  <c r="J27" i="127"/>
  <c r="I27" i="127"/>
  <c r="H27" i="127"/>
  <c r="B28" i="127"/>
  <c r="C29" i="127"/>
  <c r="A28" i="127"/>
  <c r="Y28" i="127"/>
  <c r="T25" i="125"/>
  <c r="P25" i="126"/>
  <c r="O25" i="126"/>
  <c r="N25" i="126"/>
  <c r="M25" i="126"/>
  <c r="K27" i="126"/>
  <c r="J27" i="126"/>
  <c r="I27" i="126"/>
  <c r="H27" i="126"/>
  <c r="L27" i="125"/>
  <c r="P27" i="125" s="1"/>
  <c r="B28" i="126"/>
  <c r="C29" i="126"/>
  <c r="A28" i="126"/>
  <c r="Y28" i="126"/>
  <c r="L26" i="126"/>
  <c r="K28" i="125"/>
  <c r="J28" i="125"/>
  <c r="I28" i="125"/>
  <c r="H28" i="125"/>
  <c r="B29" i="125"/>
  <c r="C30" i="125"/>
  <c r="A29" i="125"/>
  <c r="Y29" i="125"/>
  <c r="Y29" i="124"/>
  <c r="B29" i="124"/>
  <c r="C30" i="124"/>
  <c r="A29" i="124"/>
  <c r="H28" i="124"/>
  <c r="K28" i="124"/>
  <c r="J28" i="124"/>
  <c r="I28" i="124"/>
  <c r="L27" i="124"/>
  <c r="P26" i="124"/>
  <c r="M26" i="124"/>
  <c r="O26" i="124"/>
  <c r="N26" i="124"/>
  <c r="O25" i="111"/>
  <c r="N25" i="111"/>
  <c r="P25" i="111"/>
  <c r="C29" i="111"/>
  <c r="Y28" i="111"/>
  <c r="B28" i="111"/>
  <c r="A28" i="111"/>
  <c r="L26" i="111"/>
  <c r="J27" i="111"/>
  <c r="K27" i="111"/>
  <c r="I27" i="111"/>
  <c r="H27" i="111"/>
  <c r="T27" i="111"/>
  <c r="T25" i="131" l="1"/>
  <c r="T25" i="134"/>
  <c r="T25" i="135"/>
  <c r="P26" i="133"/>
  <c r="L27" i="135"/>
  <c r="M27" i="135" s="1"/>
  <c r="B29" i="135"/>
  <c r="Y29" i="135"/>
  <c r="C30" i="135"/>
  <c r="A29" i="135"/>
  <c r="L27" i="134"/>
  <c r="O27" i="134" s="1"/>
  <c r="H28" i="135"/>
  <c r="K28" i="135"/>
  <c r="J28" i="135"/>
  <c r="I28" i="135"/>
  <c r="P26" i="135"/>
  <c r="O26" i="135"/>
  <c r="N26" i="135"/>
  <c r="M26" i="135"/>
  <c r="M26" i="133"/>
  <c r="B29" i="134"/>
  <c r="C30" i="134"/>
  <c r="A29" i="134"/>
  <c r="Y29" i="134"/>
  <c r="K28" i="134"/>
  <c r="J28" i="134"/>
  <c r="I28" i="134"/>
  <c r="H28" i="134"/>
  <c r="P26" i="132"/>
  <c r="T25" i="133"/>
  <c r="P26" i="134"/>
  <c r="O26" i="134"/>
  <c r="N26" i="134"/>
  <c r="M26" i="134"/>
  <c r="O26" i="133"/>
  <c r="M26" i="128"/>
  <c r="L27" i="133"/>
  <c r="N26" i="131"/>
  <c r="T25" i="132"/>
  <c r="N26" i="133"/>
  <c r="O27" i="130"/>
  <c r="T25" i="127"/>
  <c r="M27" i="130"/>
  <c r="M26" i="131"/>
  <c r="O26" i="131"/>
  <c r="N26" i="128"/>
  <c r="N26" i="127"/>
  <c r="M26" i="132"/>
  <c r="N26" i="132"/>
  <c r="K28" i="133"/>
  <c r="J28" i="133"/>
  <c r="I28" i="133"/>
  <c r="H28" i="133"/>
  <c r="B29" i="133"/>
  <c r="C30" i="133"/>
  <c r="A29" i="133"/>
  <c r="Y29" i="133"/>
  <c r="L27" i="132"/>
  <c r="M27" i="132" s="1"/>
  <c r="B29" i="132"/>
  <c r="C30" i="132"/>
  <c r="A29" i="132"/>
  <c r="Y29" i="132"/>
  <c r="K28" i="132"/>
  <c r="J28" i="132"/>
  <c r="I28" i="132"/>
  <c r="H28" i="132"/>
  <c r="P27" i="130"/>
  <c r="N27" i="130"/>
  <c r="L27" i="131"/>
  <c r="M27" i="131" s="1"/>
  <c r="B29" i="131"/>
  <c r="C30" i="131"/>
  <c r="A29" i="131"/>
  <c r="Y29" i="131"/>
  <c r="K28" i="131"/>
  <c r="J28" i="131"/>
  <c r="I28" i="131"/>
  <c r="H28" i="131"/>
  <c r="O27" i="125"/>
  <c r="L28" i="130"/>
  <c r="M27" i="125"/>
  <c r="T26" i="125"/>
  <c r="T26" i="129"/>
  <c r="T26" i="130"/>
  <c r="Y30" i="130"/>
  <c r="B30" i="130"/>
  <c r="C31" i="130"/>
  <c r="A30" i="130"/>
  <c r="I29" i="130"/>
  <c r="H29" i="130"/>
  <c r="K29" i="130"/>
  <c r="J29" i="130"/>
  <c r="O26" i="128"/>
  <c r="L28" i="129"/>
  <c r="P28" i="129" s="1"/>
  <c r="M26" i="127"/>
  <c r="M27" i="129"/>
  <c r="P27" i="129"/>
  <c r="O27" i="129"/>
  <c r="N27" i="129"/>
  <c r="P26" i="128"/>
  <c r="T25" i="126"/>
  <c r="O26" i="127"/>
  <c r="Y30" i="129"/>
  <c r="B30" i="129"/>
  <c r="C31" i="129"/>
  <c r="A30" i="129"/>
  <c r="I29" i="129"/>
  <c r="H29" i="129"/>
  <c r="K29" i="129"/>
  <c r="J29" i="129"/>
  <c r="L27" i="127"/>
  <c r="T27" i="127" s="1"/>
  <c r="L27" i="128"/>
  <c r="O27" i="128" s="1"/>
  <c r="B29" i="128"/>
  <c r="C30" i="128"/>
  <c r="A29" i="128"/>
  <c r="Y29" i="128"/>
  <c r="K28" i="128"/>
  <c r="J28" i="128"/>
  <c r="I28" i="128"/>
  <c r="H28" i="128"/>
  <c r="B29" i="127"/>
  <c r="C30" i="127"/>
  <c r="A29" i="127"/>
  <c r="Y29" i="127"/>
  <c r="L27" i="126"/>
  <c r="N27" i="126" s="1"/>
  <c r="K28" i="127"/>
  <c r="J28" i="127"/>
  <c r="I28" i="127"/>
  <c r="H28" i="127"/>
  <c r="N27" i="125"/>
  <c r="P26" i="126"/>
  <c r="O26" i="126"/>
  <c r="N26" i="126"/>
  <c r="M26" i="126"/>
  <c r="B29" i="126"/>
  <c r="C30" i="126"/>
  <c r="A29" i="126"/>
  <c r="Y29" i="126"/>
  <c r="K28" i="126"/>
  <c r="J28" i="126"/>
  <c r="I28" i="126"/>
  <c r="H28" i="126"/>
  <c r="L28" i="125"/>
  <c r="O28" i="125" s="1"/>
  <c r="Y30" i="125"/>
  <c r="B30" i="125"/>
  <c r="C31" i="125"/>
  <c r="A30" i="125"/>
  <c r="I29" i="125"/>
  <c r="K29" i="125"/>
  <c r="J29" i="125"/>
  <c r="H29" i="125"/>
  <c r="M27" i="124"/>
  <c r="N27" i="124"/>
  <c r="O27" i="124"/>
  <c r="P27" i="124"/>
  <c r="I29" i="124"/>
  <c r="H29" i="124"/>
  <c r="K29" i="124"/>
  <c r="J29" i="124"/>
  <c r="Y30" i="124"/>
  <c r="C31" i="124"/>
  <c r="A30" i="124"/>
  <c r="B30" i="124"/>
  <c r="L28" i="124"/>
  <c r="P26" i="111"/>
  <c r="O26" i="111"/>
  <c r="N26" i="111"/>
  <c r="M26" i="111"/>
  <c r="H28" i="111"/>
  <c r="K28" i="111"/>
  <c r="J28" i="111"/>
  <c r="I28" i="111"/>
  <c r="T28" i="111"/>
  <c r="Y29" i="111"/>
  <c r="B29" i="111"/>
  <c r="A29" i="111"/>
  <c r="C30" i="111"/>
  <c r="L27" i="111"/>
  <c r="P27" i="135" l="1"/>
  <c r="T27" i="124"/>
  <c r="T26" i="128"/>
  <c r="T26" i="135"/>
  <c r="M27" i="134"/>
  <c r="O27" i="133"/>
  <c r="N27" i="134"/>
  <c r="P27" i="134"/>
  <c r="O27" i="135"/>
  <c r="N27" i="135"/>
  <c r="T26" i="132"/>
  <c r="L28" i="135"/>
  <c r="T28" i="135" s="1"/>
  <c r="T26" i="134"/>
  <c r="Y30" i="135"/>
  <c r="B30" i="135"/>
  <c r="C31" i="135"/>
  <c r="A30" i="135"/>
  <c r="M27" i="133"/>
  <c r="I29" i="135"/>
  <c r="J29" i="135"/>
  <c r="H29" i="135"/>
  <c r="K29" i="135"/>
  <c r="L28" i="134"/>
  <c r="O28" i="134" s="1"/>
  <c r="P27" i="133"/>
  <c r="T26" i="131"/>
  <c r="N27" i="133"/>
  <c r="Y30" i="134"/>
  <c r="B30" i="134"/>
  <c r="C31" i="134"/>
  <c r="A30" i="134"/>
  <c r="I29" i="134"/>
  <c r="H29" i="134"/>
  <c r="K29" i="134"/>
  <c r="J29" i="134"/>
  <c r="O27" i="132"/>
  <c r="L28" i="133"/>
  <c r="N27" i="132"/>
  <c r="Y30" i="133"/>
  <c r="B30" i="133"/>
  <c r="C31" i="133"/>
  <c r="A30" i="133"/>
  <c r="I29" i="133"/>
  <c r="H29" i="133"/>
  <c r="K29" i="133"/>
  <c r="J29" i="133"/>
  <c r="P27" i="132"/>
  <c r="T27" i="125"/>
  <c r="N27" i="131"/>
  <c r="O27" i="131"/>
  <c r="P27" i="131"/>
  <c r="Y30" i="132"/>
  <c r="B30" i="132"/>
  <c r="C31" i="132"/>
  <c r="A30" i="132"/>
  <c r="I29" i="132"/>
  <c r="K29" i="132"/>
  <c r="J29" i="132"/>
  <c r="H29" i="132"/>
  <c r="L28" i="132"/>
  <c r="T28" i="132" s="1"/>
  <c r="T26" i="127"/>
  <c r="O28" i="130"/>
  <c r="L28" i="131"/>
  <c r="N28" i="131" s="1"/>
  <c r="M28" i="129"/>
  <c r="P28" i="130"/>
  <c r="Y30" i="131"/>
  <c r="B30" i="131"/>
  <c r="C31" i="131"/>
  <c r="A30" i="131"/>
  <c r="I29" i="131"/>
  <c r="H29" i="131"/>
  <c r="K29" i="131"/>
  <c r="J29" i="131"/>
  <c r="N27" i="127"/>
  <c r="M27" i="126"/>
  <c r="N28" i="130"/>
  <c r="O27" i="127"/>
  <c r="P27" i="127"/>
  <c r="M27" i="127"/>
  <c r="N28" i="129"/>
  <c r="M28" i="130"/>
  <c r="C32" i="130"/>
  <c r="A31" i="130"/>
  <c r="Y31" i="130"/>
  <c r="B31" i="130"/>
  <c r="O28" i="129"/>
  <c r="K30" i="130"/>
  <c r="J30" i="130"/>
  <c r="I30" i="130"/>
  <c r="H30" i="130"/>
  <c r="L29" i="130"/>
  <c r="N27" i="128"/>
  <c r="T27" i="129"/>
  <c r="P27" i="126"/>
  <c r="C32" i="129"/>
  <c r="A31" i="129"/>
  <c r="Y31" i="129"/>
  <c r="B31" i="129"/>
  <c r="K30" i="129"/>
  <c r="J30" i="129"/>
  <c r="I30" i="129"/>
  <c r="H30" i="129"/>
  <c r="L29" i="129"/>
  <c r="T29" i="129" s="1"/>
  <c r="P27" i="128"/>
  <c r="M27" i="128"/>
  <c r="O27" i="126"/>
  <c r="L28" i="128"/>
  <c r="P28" i="128" s="1"/>
  <c r="Y30" i="128"/>
  <c r="B30" i="128"/>
  <c r="C31" i="128"/>
  <c r="A30" i="128"/>
  <c r="I29" i="128"/>
  <c r="H29" i="128"/>
  <c r="K29" i="128"/>
  <c r="J29" i="128"/>
  <c r="Y30" i="127"/>
  <c r="B30" i="127"/>
  <c r="C31" i="127"/>
  <c r="A30" i="127"/>
  <c r="L28" i="127"/>
  <c r="I29" i="127"/>
  <c r="H29" i="127"/>
  <c r="K29" i="127"/>
  <c r="J29" i="127"/>
  <c r="L28" i="126"/>
  <c r="M28" i="126" s="1"/>
  <c r="P28" i="125"/>
  <c r="M28" i="125"/>
  <c r="N28" i="125"/>
  <c r="T26" i="126"/>
  <c r="Y30" i="126"/>
  <c r="B30" i="126"/>
  <c r="C31" i="126"/>
  <c r="A30" i="126"/>
  <c r="I29" i="126"/>
  <c r="H29" i="126"/>
  <c r="K29" i="126"/>
  <c r="J29" i="126"/>
  <c r="C32" i="125"/>
  <c r="A31" i="125"/>
  <c r="Y31" i="125"/>
  <c r="B31" i="125"/>
  <c r="K30" i="125"/>
  <c r="J30" i="125"/>
  <c r="I30" i="125"/>
  <c r="H30" i="125"/>
  <c r="L29" i="125"/>
  <c r="L29" i="124"/>
  <c r="O29" i="124" s="1"/>
  <c r="K30" i="124"/>
  <c r="J30" i="124"/>
  <c r="I30" i="124"/>
  <c r="H30" i="124"/>
  <c r="O28" i="124"/>
  <c r="N28" i="124"/>
  <c r="M28" i="124"/>
  <c r="P28" i="124"/>
  <c r="C32" i="124"/>
  <c r="A31" i="124"/>
  <c r="B31" i="124"/>
  <c r="Y31" i="124"/>
  <c r="J29" i="111"/>
  <c r="H29" i="111"/>
  <c r="T29" i="111"/>
  <c r="I29" i="111"/>
  <c r="K29" i="111"/>
  <c r="L28" i="111"/>
  <c r="N27" i="111"/>
  <c r="O27" i="111"/>
  <c r="M27" i="111"/>
  <c r="P27" i="111"/>
  <c r="A30" i="111"/>
  <c r="C31" i="111"/>
  <c r="B30" i="111"/>
  <c r="Y30" i="111"/>
  <c r="T27" i="133" l="1"/>
  <c r="T28" i="130"/>
  <c r="T27" i="134"/>
  <c r="P28" i="135"/>
  <c r="N28" i="134"/>
  <c r="M28" i="135"/>
  <c r="N28" i="135"/>
  <c r="O28" i="135"/>
  <c r="M28" i="134"/>
  <c r="T28" i="134" s="1"/>
  <c r="T27" i="135"/>
  <c r="P28" i="134"/>
  <c r="L29" i="135"/>
  <c r="T27" i="132"/>
  <c r="C32" i="135"/>
  <c r="A31" i="135"/>
  <c r="Y31" i="135"/>
  <c r="B31" i="135"/>
  <c r="K30" i="135"/>
  <c r="J30" i="135"/>
  <c r="I30" i="135"/>
  <c r="H30" i="135"/>
  <c r="K30" i="134"/>
  <c r="J30" i="134"/>
  <c r="I30" i="134"/>
  <c r="H30" i="134"/>
  <c r="T27" i="131"/>
  <c r="T28" i="129"/>
  <c r="L29" i="134"/>
  <c r="C32" i="134"/>
  <c r="A31" i="134"/>
  <c r="Y31" i="134"/>
  <c r="B31" i="134"/>
  <c r="T27" i="128"/>
  <c r="C32" i="133"/>
  <c r="A31" i="133"/>
  <c r="Y31" i="133"/>
  <c r="B31" i="133"/>
  <c r="K30" i="133"/>
  <c r="J30" i="133"/>
  <c r="I30" i="133"/>
  <c r="H30" i="133"/>
  <c r="O28" i="133"/>
  <c r="N28" i="133"/>
  <c r="M28" i="133"/>
  <c r="P28" i="133"/>
  <c r="L29" i="133"/>
  <c r="L29" i="132"/>
  <c r="P28" i="131"/>
  <c r="C32" i="132"/>
  <c r="A31" i="132"/>
  <c r="Y31" i="132"/>
  <c r="B31" i="132"/>
  <c r="M28" i="131"/>
  <c r="O28" i="132"/>
  <c r="N28" i="132"/>
  <c r="M28" i="132"/>
  <c r="P28" i="132"/>
  <c r="K30" i="132"/>
  <c r="J30" i="132"/>
  <c r="I30" i="132"/>
  <c r="H30" i="132"/>
  <c r="O28" i="131"/>
  <c r="K30" i="131"/>
  <c r="J30" i="131"/>
  <c r="I30" i="131"/>
  <c r="H30" i="131"/>
  <c r="L29" i="131"/>
  <c r="T27" i="126"/>
  <c r="C32" i="131"/>
  <c r="A31" i="131"/>
  <c r="Y31" i="131"/>
  <c r="B31" i="131"/>
  <c r="P28" i="126"/>
  <c r="K31" i="130"/>
  <c r="J31" i="130"/>
  <c r="I31" i="130"/>
  <c r="H31" i="130"/>
  <c r="P29" i="130"/>
  <c r="O29" i="130"/>
  <c r="N29" i="130"/>
  <c r="M29" i="130"/>
  <c r="L30" i="130"/>
  <c r="B32" i="130"/>
  <c r="A32" i="130"/>
  <c r="Y32" i="130"/>
  <c r="L30" i="129"/>
  <c r="N28" i="126"/>
  <c r="O28" i="126"/>
  <c r="M28" i="128"/>
  <c r="O28" i="128"/>
  <c r="K31" i="129"/>
  <c r="J31" i="129"/>
  <c r="I31" i="129"/>
  <c r="H31" i="129"/>
  <c r="N28" i="128"/>
  <c r="O29" i="129"/>
  <c r="N29" i="129"/>
  <c r="M29" i="129"/>
  <c r="P29" i="129"/>
  <c r="B32" i="129"/>
  <c r="A32" i="129"/>
  <c r="Y32" i="129"/>
  <c r="C32" i="128"/>
  <c r="A31" i="128"/>
  <c r="Y31" i="128"/>
  <c r="B31" i="128"/>
  <c r="K30" i="128"/>
  <c r="J30" i="128"/>
  <c r="I30" i="128"/>
  <c r="H30" i="128"/>
  <c r="L29" i="128"/>
  <c r="T28" i="125"/>
  <c r="L29" i="127"/>
  <c r="O28" i="127"/>
  <c r="N28" i="127"/>
  <c r="M28" i="127"/>
  <c r="P28" i="127"/>
  <c r="C32" i="127"/>
  <c r="A31" i="127"/>
  <c r="Y31" i="127"/>
  <c r="B31" i="127"/>
  <c r="K30" i="127"/>
  <c r="J30" i="127"/>
  <c r="I30" i="127"/>
  <c r="H30" i="127"/>
  <c r="P29" i="124"/>
  <c r="T28" i="124"/>
  <c r="M29" i="124"/>
  <c r="C32" i="126"/>
  <c r="A31" i="126"/>
  <c r="Y31" i="126"/>
  <c r="B31" i="126"/>
  <c r="K30" i="126"/>
  <c r="J30" i="126"/>
  <c r="I30" i="126"/>
  <c r="H30" i="126"/>
  <c r="L29" i="126"/>
  <c r="L30" i="125"/>
  <c r="P30" i="125" s="1"/>
  <c r="K31" i="125"/>
  <c r="J31" i="125"/>
  <c r="I31" i="125"/>
  <c r="H31" i="125"/>
  <c r="N29" i="124"/>
  <c r="P29" i="125"/>
  <c r="O29" i="125"/>
  <c r="N29" i="125"/>
  <c r="M29" i="125"/>
  <c r="B32" i="125"/>
  <c r="A32" i="125"/>
  <c r="Y32" i="125"/>
  <c r="K31" i="124"/>
  <c r="J31" i="124"/>
  <c r="I31" i="124"/>
  <c r="H31" i="124"/>
  <c r="L30" i="124"/>
  <c r="B32" i="124"/>
  <c r="A32" i="124"/>
  <c r="Y32" i="124"/>
  <c r="H30" i="111"/>
  <c r="K30" i="111"/>
  <c r="J30" i="111"/>
  <c r="I30" i="111"/>
  <c r="T30" i="111"/>
  <c r="B31" i="111"/>
  <c r="Y31" i="111"/>
  <c r="C32" i="111"/>
  <c r="A31" i="111"/>
  <c r="L29" i="111"/>
  <c r="P28" i="111"/>
  <c r="M28" i="111"/>
  <c r="O28" i="111"/>
  <c r="N28" i="111"/>
  <c r="T28" i="127" l="1"/>
  <c r="T28" i="131"/>
  <c r="T28" i="126"/>
  <c r="M29" i="135"/>
  <c r="N29" i="135"/>
  <c r="O29" i="135"/>
  <c r="P29" i="135"/>
  <c r="L30" i="135"/>
  <c r="O30" i="135" s="1"/>
  <c r="K31" i="135"/>
  <c r="J31" i="135"/>
  <c r="I31" i="135"/>
  <c r="H31" i="135"/>
  <c r="B32" i="135"/>
  <c r="A32" i="135"/>
  <c r="Y32" i="135"/>
  <c r="L30" i="134"/>
  <c r="T30" i="134" s="1"/>
  <c r="P29" i="134"/>
  <c r="O29" i="134"/>
  <c r="N29" i="134"/>
  <c r="M29" i="134"/>
  <c r="K31" i="134"/>
  <c r="J31" i="134"/>
  <c r="I31" i="134"/>
  <c r="H31" i="134"/>
  <c r="B32" i="134"/>
  <c r="A32" i="134"/>
  <c r="Y32" i="134"/>
  <c r="T28" i="133"/>
  <c r="L30" i="133"/>
  <c r="N30" i="133" s="1"/>
  <c r="P29" i="133"/>
  <c r="O29" i="133"/>
  <c r="N29" i="133"/>
  <c r="M29" i="133"/>
  <c r="K31" i="133"/>
  <c r="J31" i="133"/>
  <c r="I31" i="133"/>
  <c r="H31" i="133"/>
  <c r="B32" i="133"/>
  <c r="A32" i="133"/>
  <c r="Y32" i="133"/>
  <c r="L30" i="132"/>
  <c r="P30" i="132" s="1"/>
  <c r="K31" i="132"/>
  <c r="J31" i="132"/>
  <c r="I31" i="132"/>
  <c r="H31" i="132"/>
  <c r="B32" i="132"/>
  <c r="A32" i="132"/>
  <c r="Y32" i="132"/>
  <c r="P29" i="132"/>
  <c r="O29" i="132"/>
  <c r="N29" i="132"/>
  <c r="M29" i="132"/>
  <c r="L30" i="131"/>
  <c r="O30" i="131" s="1"/>
  <c r="B32" i="131"/>
  <c r="A32" i="131"/>
  <c r="Y32" i="131"/>
  <c r="P29" i="131"/>
  <c r="O29" i="131"/>
  <c r="N29" i="131"/>
  <c r="M29" i="131"/>
  <c r="K31" i="131"/>
  <c r="J31" i="131"/>
  <c r="I31" i="131"/>
  <c r="H31" i="131"/>
  <c r="T29" i="130"/>
  <c r="L31" i="130"/>
  <c r="M31" i="130" s="1"/>
  <c r="T28" i="128"/>
  <c r="K32" i="130"/>
  <c r="J32" i="130"/>
  <c r="I32" i="130"/>
  <c r="H32" i="130"/>
  <c r="P30" i="130"/>
  <c r="O30" i="130"/>
  <c r="N30" i="130"/>
  <c r="M30" i="130"/>
  <c r="T29" i="124"/>
  <c r="M30" i="129"/>
  <c r="N30" i="129"/>
  <c r="O30" i="129"/>
  <c r="P30" i="129"/>
  <c r="K32" i="129"/>
  <c r="J32" i="129"/>
  <c r="I32" i="129"/>
  <c r="H32" i="129"/>
  <c r="L30" i="128"/>
  <c r="P30" i="128" s="1"/>
  <c r="L31" i="129"/>
  <c r="K31" i="128"/>
  <c r="J31" i="128"/>
  <c r="I31" i="128"/>
  <c r="H31" i="128"/>
  <c r="P29" i="128"/>
  <c r="O29" i="128"/>
  <c r="N29" i="128"/>
  <c r="M29" i="128"/>
  <c r="B32" i="128"/>
  <c r="A32" i="128"/>
  <c r="Y32" i="128"/>
  <c r="B32" i="127"/>
  <c r="A32" i="127"/>
  <c r="Y32" i="127"/>
  <c r="L30" i="127"/>
  <c r="L30" i="126"/>
  <c r="T30" i="126" s="1"/>
  <c r="K31" i="127"/>
  <c r="J31" i="127"/>
  <c r="I31" i="127"/>
  <c r="H31" i="127"/>
  <c r="P29" i="127"/>
  <c r="O29" i="127"/>
  <c r="N29" i="127"/>
  <c r="M29" i="127"/>
  <c r="N30" i="125"/>
  <c r="O30" i="125"/>
  <c r="M30" i="125"/>
  <c r="T29" i="125"/>
  <c r="K31" i="126"/>
  <c r="J31" i="126"/>
  <c r="I31" i="126"/>
  <c r="H31" i="126"/>
  <c r="P29" i="126"/>
  <c r="O29" i="126"/>
  <c r="N29" i="126"/>
  <c r="M29" i="126"/>
  <c r="L31" i="125"/>
  <c r="M31" i="125" s="1"/>
  <c r="B32" i="126"/>
  <c r="A32" i="126"/>
  <c r="Y32" i="126"/>
  <c r="K32" i="125"/>
  <c r="J32" i="125"/>
  <c r="I32" i="125"/>
  <c r="H32" i="125"/>
  <c r="K32" i="124"/>
  <c r="J32" i="124"/>
  <c r="I32" i="124"/>
  <c r="H32" i="124"/>
  <c r="P30" i="124"/>
  <c r="O30" i="124"/>
  <c r="N30" i="124"/>
  <c r="M30" i="124"/>
  <c r="L31" i="124"/>
  <c r="L30" i="111"/>
  <c r="Y32" i="111"/>
  <c r="B32" i="111"/>
  <c r="A32" i="111"/>
  <c r="N29" i="111"/>
  <c r="P29" i="111"/>
  <c r="O29" i="111"/>
  <c r="M29" i="111"/>
  <c r="J31" i="111"/>
  <c r="K31" i="111"/>
  <c r="I31" i="111"/>
  <c r="H31" i="111"/>
  <c r="T31" i="111"/>
  <c r="T29" i="132" l="1"/>
  <c r="T29" i="135"/>
  <c r="T30" i="129"/>
  <c r="N30" i="135"/>
  <c r="P30" i="135"/>
  <c r="M30" i="132"/>
  <c r="P30" i="131"/>
  <c r="O30" i="133"/>
  <c r="N30" i="134"/>
  <c r="M30" i="135"/>
  <c r="L31" i="135"/>
  <c r="N31" i="135" s="1"/>
  <c r="N30" i="132"/>
  <c r="O30" i="134"/>
  <c r="P30" i="133"/>
  <c r="M30" i="133"/>
  <c r="M30" i="134"/>
  <c r="P30" i="134"/>
  <c r="H32" i="135"/>
  <c r="K32" i="135"/>
  <c r="J32" i="135"/>
  <c r="I32" i="135"/>
  <c r="T29" i="134"/>
  <c r="L31" i="134"/>
  <c r="K32" i="134"/>
  <c r="J32" i="134"/>
  <c r="I32" i="134"/>
  <c r="H32" i="134"/>
  <c r="T29" i="133"/>
  <c r="L31" i="133"/>
  <c r="O31" i="133" s="1"/>
  <c r="O30" i="132"/>
  <c r="K32" i="133"/>
  <c r="J32" i="133"/>
  <c r="I32" i="133"/>
  <c r="H32" i="133"/>
  <c r="N30" i="131"/>
  <c r="L31" i="132"/>
  <c r="M31" i="132" s="1"/>
  <c r="N31" i="130"/>
  <c r="K32" i="132"/>
  <c r="J32" i="132"/>
  <c r="I32" i="132"/>
  <c r="H32" i="132"/>
  <c r="L31" i="131"/>
  <c r="T31" i="131" s="1"/>
  <c r="O31" i="130"/>
  <c r="P31" i="130"/>
  <c r="M30" i="131"/>
  <c r="T30" i="130"/>
  <c r="T29" i="131"/>
  <c r="K32" i="131"/>
  <c r="J32" i="131"/>
  <c r="I32" i="131"/>
  <c r="H32" i="131"/>
  <c r="L32" i="130"/>
  <c r="M30" i="128"/>
  <c r="N30" i="128"/>
  <c r="O30" i="128"/>
  <c r="L32" i="129"/>
  <c r="O32" i="129" s="1"/>
  <c r="M31" i="129"/>
  <c r="P31" i="129"/>
  <c r="O31" i="129"/>
  <c r="N31" i="129"/>
  <c r="M30" i="126"/>
  <c r="L31" i="128"/>
  <c r="N31" i="128" s="1"/>
  <c r="T29" i="128"/>
  <c r="N30" i="126"/>
  <c r="K32" i="128"/>
  <c r="J32" i="128"/>
  <c r="I32" i="128"/>
  <c r="H32" i="128"/>
  <c r="T29" i="127"/>
  <c r="T29" i="126"/>
  <c r="O30" i="126"/>
  <c r="P30" i="126"/>
  <c r="P30" i="127"/>
  <c r="O30" i="127"/>
  <c r="N30" i="127"/>
  <c r="M30" i="127"/>
  <c r="T30" i="125"/>
  <c r="L31" i="127"/>
  <c r="K32" i="127"/>
  <c r="J32" i="127"/>
  <c r="I32" i="127"/>
  <c r="H32" i="127"/>
  <c r="L31" i="126"/>
  <c r="K32" i="126"/>
  <c r="J32" i="126"/>
  <c r="I32" i="126"/>
  <c r="H32" i="126"/>
  <c r="N31" i="125"/>
  <c r="O31" i="125"/>
  <c r="P31" i="125"/>
  <c r="L32" i="125"/>
  <c r="T30" i="124"/>
  <c r="L32" i="124"/>
  <c r="M31" i="124"/>
  <c r="N31" i="124"/>
  <c r="P31" i="124"/>
  <c r="O31" i="124"/>
  <c r="P30" i="111"/>
  <c r="O30" i="111"/>
  <c r="M30" i="111"/>
  <c r="N30" i="111"/>
  <c r="L31" i="111"/>
  <c r="H32" i="111"/>
  <c r="I32" i="111"/>
  <c r="T32" i="111"/>
  <c r="T33" i="111" s="1"/>
  <c r="K32" i="111"/>
  <c r="J32" i="111"/>
  <c r="T30" i="135" l="1"/>
  <c r="T30" i="133"/>
  <c r="T30" i="132"/>
  <c r="M31" i="135"/>
  <c r="N31" i="133"/>
  <c r="O31" i="135"/>
  <c r="P31" i="133"/>
  <c r="P31" i="135"/>
  <c r="M31" i="134"/>
  <c r="M31" i="133"/>
  <c r="N31" i="134"/>
  <c r="O31" i="134"/>
  <c r="P31" i="134"/>
  <c r="L32" i="135"/>
  <c r="L32" i="134"/>
  <c r="M32" i="134" s="1"/>
  <c r="L32" i="133"/>
  <c r="O32" i="133" s="1"/>
  <c r="N31" i="132"/>
  <c r="O31" i="132"/>
  <c r="P31" i="132"/>
  <c r="T30" i="131"/>
  <c r="T31" i="130"/>
  <c r="L32" i="132"/>
  <c r="P31" i="131"/>
  <c r="M31" i="131"/>
  <c r="N31" i="131"/>
  <c r="O31" i="131"/>
  <c r="P32" i="129"/>
  <c r="P33" i="129" s="1"/>
  <c r="M32" i="129"/>
  <c r="N32" i="129"/>
  <c r="L32" i="131"/>
  <c r="P31" i="128"/>
  <c r="T30" i="128"/>
  <c r="O32" i="130"/>
  <c r="N32" i="130"/>
  <c r="M32" i="130"/>
  <c r="P32" i="130"/>
  <c r="P33" i="130" s="1"/>
  <c r="T31" i="129"/>
  <c r="O31" i="128"/>
  <c r="M31" i="128"/>
  <c r="L32" i="128"/>
  <c r="T32" i="128" s="1"/>
  <c r="T31" i="125"/>
  <c r="L32" i="126"/>
  <c r="P32" i="126" s="1"/>
  <c r="T30" i="127"/>
  <c r="M31" i="127"/>
  <c r="P31" i="127"/>
  <c r="O31" i="127"/>
  <c r="N31" i="127"/>
  <c r="L32" i="127"/>
  <c r="N31" i="126"/>
  <c r="O31" i="126"/>
  <c r="P31" i="126"/>
  <c r="M31" i="126"/>
  <c r="O32" i="125"/>
  <c r="N32" i="125"/>
  <c r="M32" i="125"/>
  <c r="P32" i="125"/>
  <c r="P33" i="125" s="1"/>
  <c r="T31" i="124"/>
  <c r="O32" i="124"/>
  <c r="N32" i="124"/>
  <c r="M32" i="124"/>
  <c r="P32" i="124"/>
  <c r="P33" i="124" s="1"/>
  <c r="L32" i="111"/>
  <c r="O32" i="111" s="1"/>
  <c r="N31" i="111"/>
  <c r="M31" i="111"/>
  <c r="P31" i="111"/>
  <c r="O31" i="111"/>
  <c r="T31" i="126" l="1"/>
  <c r="T31" i="134"/>
  <c r="T31" i="133"/>
  <c r="T31" i="135"/>
  <c r="N32" i="133"/>
  <c r="N32" i="134"/>
  <c r="P32" i="133"/>
  <c r="P33" i="133" s="1"/>
  <c r="O32" i="134"/>
  <c r="O32" i="135"/>
  <c r="N32" i="135"/>
  <c r="M32" i="135"/>
  <c r="P32" i="135"/>
  <c r="P33" i="135" s="1"/>
  <c r="P32" i="134"/>
  <c r="P33" i="134" s="1"/>
  <c r="T31" i="132"/>
  <c r="T32" i="129"/>
  <c r="T33" i="129" s="1"/>
  <c r="S40" i="129" s="1"/>
  <c r="M32" i="133"/>
  <c r="O32" i="132"/>
  <c r="N32" i="132"/>
  <c r="M32" i="132"/>
  <c r="P32" i="132"/>
  <c r="P33" i="132" s="1"/>
  <c r="T31" i="128"/>
  <c r="T33" i="128" s="1"/>
  <c r="O32" i="128"/>
  <c r="T32" i="130"/>
  <c r="T33" i="130" s="1"/>
  <c r="S40" i="130" s="1"/>
  <c r="O32" i="131"/>
  <c r="N32" i="131"/>
  <c r="M32" i="131"/>
  <c r="P32" i="131"/>
  <c r="P33" i="131" s="1"/>
  <c r="N32" i="126"/>
  <c r="O32" i="126"/>
  <c r="M32" i="126"/>
  <c r="N32" i="128"/>
  <c r="P32" i="128"/>
  <c r="P33" i="128" s="1"/>
  <c r="M32" i="128"/>
  <c r="P33" i="126"/>
  <c r="T31" i="127"/>
  <c r="O32" i="127"/>
  <c r="N32" i="127"/>
  <c r="M32" i="127"/>
  <c r="P32" i="127"/>
  <c r="P33" i="127" s="1"/>
  <c r="T32" i="125"/>
  <c r="T33" i="125" s="1"/>
  <c r="S40" i="125" s="1"/>
  <c r="T32" i="124"/>
  <c r="T33" i="124" s="1"/>
  <c r="S40" i="124" s="1"/>
  <c r="M32" i="111"/>
  <c r="P32" i="111"/>
  <c r="P33" i="111" s="1"/>
  <c r="S40" i="111" s="1"/>
  <c r="N32" i="111"/>
  <c r="T32" i="133" l="1"/>
  <c r="T33" i="133" s="1"/>
  <c r="S40" i="133" s="1"/>
  <c r="T32" i="131"/>
  <c r="T33" i="131" s="1"/>
  <c r="S40" i="131" s="1"/>
  <c r="T32" i="134"/>
  <c r="T33" i="134" s="1"/>
  <c r="S40" i="134" s="1"/>
  <c r="T32" i="135"/>
  <c r="T33" i="135" s="1"/>
  <c r="S40" i="135" s="1"/>
  <c r="T32" i="132"/>
  <c r="T33" i="132" s="1"/>
  <c r="S40" i="132" s="1"/>
  <c r="S40" i="128"/>
  <c r="T32" i="126"/>
  <c r="T33" i="126" s="1"/>
  <c r="S40" i="126" s="1"/>
  <c r="T32" i="127"/>
  <c r="T33" i="127" s="1"/>
  <c r="S40" i="127" s="1"/>
</calcChain>
</file>

<file path=xl/sharedStrings.xml><?xml version="1.0" encoding="utf-8"?>
<sst xmlns="http://schemas.openxmlformats.org/spreadsheetml/2006/main" count="702" uniqueCount="159">
  <si>
    <t>Dias</t>
  </si>
  <si>
    <t>Data</t>
  </si>
  <si>
    <t>Entrada</t>
  </si>
  <si>
    <t>Retorno Almoço</t>
  </si>
  <si>
    <t>Saída</t>
  </si>
  <si>
    <t>Variações  Horas de Entrada</t>
  </si>
  <si>
    <t>Variações  Horas de Saída</t>
  </si>
  <si>
    <t>Ausência para Comp. no mês</t>
  </si>
  <si>
    <t>Horas Compens.       no mês</t>
  </si>
  <si>
    <t>PGHE</t>
  </si>
  <si>
    <t>Hora</t>
  </si>
  <si>
    <t xml:space="preserve">ABNO </t>
  </si>
  <si>
    <t>Crédito Hs mês Angra</t>
  </si>
  <si>
    <t>Crédito Banco de Feriado Angra</t>
  </si>
  <si>
    <t>INTE</t>
  </si>
  <si>
    <t>Interjornada</t>
  </si>
  <si>
    <t>JIN*</t>
  </si>
  <si>
    <t>Pagamento de Hora Extra</t>
  </si>
  <si>
    <t>SEXT</t>
  </si>
  <si>
    <t>Saída Almoço</t>
  </si>
  <si>
    <t>COMPENSADO</t>
  </si>
  <si>
    <t>DIA</t>
  </si>
  <si>
    <t>TIPO</t>
  </si>
  <si>
    <t>FERIADO</t>
  </si>
  <si>
    <t>DISPENSADO</t>
  </si>
  <si>
    <t>1/2 COMPENSADO</t>
  </si>
  <si>
    <t>CRE2 =</t>
  </si>
  <si>
    <t>Quantidade de horas para compensar no banco de feriados (anual)</t>
  </si>
  <si>
    <t>COR</t>
  </si>
  <si>
    <t>Ano</t>
  </si>
  <si>
    <t>Tipo de dia</t>
  </si>
  <si>
    <t>Tipo de Ponto</t>
  </si>
  <si>
    <t>Comercial</t>
  </si>
  <si>
    <t>EXPEDIENTE CORRIDO</t>
  </si>
  <si>
    <t>Entrada tratada</t>
  </si>
  <si>
    <t>Saída tratada</t>
  </si>
  <si>
    <t>Saída Almoço tratada</t>
  </si>
  <si>
    <t>Retorno Almoço tratado</t>
  </si>
  <si>
    <t>DESCRIÇÃO</t>
  </si>
  <si>
    <t>Calendário</t>
  </si>
  <si>
    <t>CRE2</t>
  </si>
  <si>
    <t>NAUT</t>
  </si>
  <si>
    <t>Variações Horas de Almoço</t>
  </si>
  <si>
    <t>TELE</t>
  </si>
  <si>
    <t>TEXT</t>
  </si>
  <si>
    <t>Teletrabalho</t>
  </si>
  <si>
    <t>Dados</t>
  </si>
  <si>
    <t>U.O.</t>
  </si>
  <si>
    <t>Funcionário</t>
  </si>
  <si>
    <t>Gerente</t>
  </si>
  <si>
    <t>Matrícula</t>
  </si>
  <si>
    <t>(Nome)</t>
  </si>
  <si>
    <t>(Nome gerente)</t>
  </si>
  <si>
    <t>(Departamento)</t>
  </si>
  <si>
    <t>(Nº Matrícula)</t>
  </si>
  <si>
    <r>
      <rPr>
        <b/>
        <sz val="14"/>
        <color theme="1"/>
        <rFont val="Calibri"/>
        <family val="2"/>
        <scheme val="minor"/>
      </rPr>
      <t>AUS*</t>
    </r>
    <r>
      <rPr>
        <sz val="14"/>
        <color theme="1"/>
        <rFont val="Calibri"/>
        <family val="2"/>
        <scheme val="minor"/>
      </rPr>
      <t xml:space="preserve">  </t>
    </r>
  </si>
  <si>
    <r>
      <rPr>
        <b/>
        <sz val="14"/>
        <color theme="1"/>
        <rFont val="Calibri"/>
        <family val="2"/>
        <scheme val="minor"/>
      </rPr>
      <t>CPHM</t>
    </r>
    <r>
      <rPr>
        <sz val="14"/>
        <color theme="1"/>
        <rFont val="Calibri"/>
        <family val="2"/>
        <scheme val="minor"/>
      </rPr>
      <t xml:space="preserve"> </t>
    </r>
  </si>
  <si>
    <r>
      <rPr>
        <b/>
        <sz val="14"/>
        <color theme="1"/>
        <rFont val="Calibri"/>
        <family val="2"/>
        <scheme val="minor"/>
      </rPr>
      <t>CRE1</t>
    </r>
    <r>
      <rPr>
        <sz val="14"/>
        <color theme="1"/>
        <rFont val="Calibri"/>
        <family val="2"/>
        <scheme val="minor"/>
      </rPr>
      <t xml:space="preserve"> </t>
    </r>
  </si>
  <si>
    <t>Compensado Hs mês Angra</t>
  </si>
  <si>
    <t>Código</t>
  </si>
  <si>
    <t>Descrição</t>
  </si>
  <si>
    <t>Preencher a tabela com os dados do calendário
é essencial para o funcionamento da planilha.
Procure fazer isso antes de usar a planilha.</t>
  </si>
  <si>
    <t>Insira seus dados nas caixas laranjas.
O campo "Tipo de Ponto" é essencial
e altera o comportamento da planilha.</t>
  </si>
  <si>
    <t>Legendas</t>
  </si>
  <si>
    <t>Códigos do SAP e
cores dos dias especiais.</t>
  </si>
  <si>
    <t>Instruções</t>
  </si>
  <si>
    <t>Créditos</t>
  </si>
  <si>
    <t>Contato</t>
  </si>
  <si>
    <t>leoneac@eletronuclear.gov.br</t>
  </si>
  <si>
    <t>Leone Andrade Campos</t>
  </si>
  <si>
    <t>Se encontrar algum
problema, por favor, avise.</t>
  </si>
  <si>
    <t>Lance todos os pontos (entrada, almoço e saída) exatamente como estão no SAP.</t>
  </si>
  <si>
    <t>Não é necessário fazer arredondamentos, pois a planilha corrige os valores para você.</t>
  </si>
  <si>
    <t>Preencha apenas células que estão em branco.</t>
  </si>
  <si>
    <t>As células em cinza são preenchidas automaticamente pela própria planilha.</t>
  </si>
  <si>
    <t>Em dias de expediente corrido, lance apenas os horários de entrada e saída e deixe os horários de almoço vazios.</t>
  </si>
  <si>
    <t xml:space="preserve">Abono gerencial </t>
  </si>
  <si>
    <t>Jornada incompleta não abonada</t>
  </si>
  <si>
    <t xml:space="preserve">Permanência não autorizada </t>
  </si>
  <si>
    <t>Serviço externo</t>
  </si>
  <si>
    <t>Treinamento externo</t>
  </si>
  <si>
    <t>Ausência não abonada</t>
  </si>
  <si>
    <t>Não se esqueça de conferir o Tipo de Ponto escolhido na área Dados (acima).</t>
  </si>
  <si>
    <t>O ambiente de dia expediente corrido, quando são feitas horas extras, é complicado e pouco conhecido na prática, por isso é aconselhável conferir se as deduções feitas pela planilha nesse dia estão de acordo com o SAP.</t>
  </si>
  <si>
    <r>
      <t xml:space="preserve">A planilha é protegida para evitar desconfigurações acidentais, porém não possui senha. Se precisar corrigir algo ou fazer alguma operação manual por qualquer motivo, basta desproteger em </t>
    </r>
    <r>
      <rPr>
        <b/>
        <sz val="14"/>
        <color theme="4" tint="-0.499984740745262"/>
        <rFont val="Courier New"/>
        <family val="3"/>
      </rPr>
      <t>Revisão &gt; Desproteger Planilha</t>
    </r>
    <r>
      <rPr>
        <b/>
        <sz val="14"/>
        <color theme="4" tint="-0.499984740745262"/>
        <rFont val="Calibri"/>
        <family val="2"/>
        <scheme val="minor"/>
      </rPr>
      <t xml:space="preserve"> para editar células bloqueadas.</t>
    </r>
  </si>
  <si>
    <t>Horários</t>
  </si>
  <si>
    <r>
      <t xml:space="preserve">ABNO
</t>
    </r>
    <r>
      <rPr>
        <b/>
        <sz val="12"/>
        <color theme="7" tint="-0.499984740745262"/>
        <rFont val="Calibri"/>
        <family val="2"/>
        <scheme val="minor"/>
      </rPr>
      <t xml:space="preserve">Abono Gerencial </t>
    </r>
  </si>
  <si>
    <r>
      <t xml:space="preserve">AUS* ou  JIN*
</t>
    </r>
    <r>
      <rPr>
        <b/>
        <sz val="12"/>
        <color theme="7" tint="-0.499984740745262"/>
        <rFont val="Calibri"/>
        <family val="2"/>
        <scheme val="minor"/>
      </rPr>
      <t>Descontos</t>
    </r>
  </si>
  <si>
    <r>
      <t xml:space="preserve">NAUT
</t>
    </r>
    <r>
      <rPr>
        <b/>
        <sz val="12"/>
        <color theme="4" tint="-0.499984740745262"/>
        <rFont val="Calibri"/>
        <family val="2"/>
        <scheme val="minor"/>
      </rPr>
      <t>Presença Não Perm.</t>
    </r>
  </si>
  <si>
    <r>
      <t xml:space="preserve">PGHE
</t>
    </r>
    <r>
      <rPr>
        <b/>
        <sz val="12"/>
        <color theme="4" tint="-0.499984740745262"/>
        <rFont val="Calibri"/>
        <family val="2"/>
        <scheme val="minor"/>
      </rPr>
      <t>Horas Extras</t>
    </r>
  </si>
  <si>
    <r>
      <t xml:space="preserve">CRE2
</t>
    </r>
    <r>
      <rPr>
        <b/>
        <sz val="12"/>
        <color theme="4" tint="-0.499984740745262"/>
        <rFont val="Calibri"/>
        <family val="2"/>
        <scheme val="minor"/>
      </rPr>
      <t>Banco de Feriados</t>
    </r>
  </si>
  <si>
    <r>
      <t xml:space="preserve">CRE1
</t>
    </r>
    <r>
      <rPr>
        <b/>
        <sz val="12"/>
        <color theme="4" tint="-0.499984740745262"/>
        <rFont val="Calibri"/>
        <family val="2"/>
        <scheme val="minor"/>
      </rPr>
      <t>Compens.
no mês</t>
    </r>
  </si>
  <si>
    <t>seg a sex</t>
  </si>
  <si>
    <t>7:30 a 12:00 e 13:30 a 17:00</t>
  </si>
  <si>
    <t>Planilha baseada na planilha do DME.N, esta originalmente feita pelo Carlos Leonardo da Silva Xavier (lxavier).</t>
  </si>
  <si>
    <t>Construção</t>
  </si>
  <si>
    <t>7:30 a 11:45 e 13:45 a 17:30</t>
  </si>
  <si>
    <t>7:00 a 11:45 e 13:15 a 16:30</t>
  </si>
  <si>
    <t>seg a qui</t>
  </si>
  <si>
    <t>sexta</t>
  </si>
  <si>
    <r>
      <t xml:space="preserve">CPHM
</t>
    </r>
    <r>
      <rPr>
        <b/>
        <sz val="12"/>
        <color theme="7" tint="-0.499984740745262"/>
        <rFont val="Calibri"/>
        <family val="2"/>
        <scheme val="minor"/>
      </rPr>
      <t xml:space="preserve"> Atraso Compens.</t>
    </r>
  </si>
  <si>
    <t>DIA ÚTIL</t>
  </si>
  <si>
    <t>FIM DE SEMANA</t>
  </si>
  <si>
    <t>Marcação Manual - Justificativas</t>
  </si>
  <si>
    <t>Exemplo de feriado</t>
  </si>
  <si>
    <t>Exemplo de dia dispensado</t>
  </si>
  <si>
    <t>Exemplo de compensação total com banco de horas de feriado</t>
  </si>
  <si>
    <t>Exemplo de fim de semana</t>
  </si>
  <si>
    <t>Totais</t>
  </si>
  <si>
    <t>Horas
Trabalhadas</t>
  </si>
  <si>
    <t>Exemplo de dia meio compensado, meio dispensado</t>
  </si>
  <si>
    <t>CRE1 - CPHM</t>
  </si>
  <si>
    <t>Exemplo de expediente corrido normal (COMERCIAL)</t>
  </si>
  <si>
    <t>Exemplo de dia útil comum (COMERCIAL)</t>
  </si>
  <si>
    <t>Exemplo de dia com compensações não tratadas</t>
  </si>
  <si>
    <t>Exemplo de dia com compensações tratadas</t>
  </si>
  <si>
    <t>Exemplo de erro no lançamento de almoço no fim de semana</t>
  </si>
  <si>
    <t>Exemplo de tratamento incorreto</t>
  </si>
  <si>
    <t>Exemplo de arredondamento no lançamento de horas</t>
  </si>
  <si>
    <t>Exemplo de esquecimento de lançamento do almoço</t>
  </si>
  <si>
    <t>Exemplo de marcação manual</t>
  </si>
  <si>
    <t>Observações</t>
  </si>
  <si>
    <t>A curva de aprendizado desta planilha
é um pouco lenta no início, sugiro
se basear na planilha "EXEMPLO".</t>
  </si>
  <si>
    <t>Exemplo de lançamento de compensação para um dia inteiro</t>
  </si>
  <si>
    <t>Saldo do Banco de Horas Mensal</t>
  </si>
  <si>
    <t>mês anterior</t>
  </si>
  <si>
    <t>Saldo total de horas no mês</t>
  </si>
  <si>
    <t>(falta ser compensado)</t>
  </si>
  <si>
    <t>Saldo do Banco de Feriado</t>
  </si>
  <si>
    <t>v1.0m</t>
  </si>
  <si>
    <t>Confraternização Universal - Feriado Nacional</t>
  </si>
  <si>
    <t>Expedientes corridos não são conhecidos no início do ano, então é necessário adicioná-los no fim do Calendário (tabela ao lado) quando aparecerem. O mesmo serve para os dias de férias.</t>
  </si>
  <si>
    <t>Não é necessário que os dias lançados no Calendário estejam em ordem cronológica.</t>
  </si>
  <si>
    <t>As horas de CRE2 são calculadas com base nos dias totalmente/parcialmente compensados, se você quiser que algum dia não seja contabilizado, basta removê-lo do calendário.</t>
  </si>
  <si>
    <t>DEE.N</t>
  </si>
  <si>
    <t>FÉRIAS</t>
  </si>
  <si>
    <t>Dia de Reis - Feriado Municipal</t>
  </si>
  <si>
    <t>Carnaval - Dispensado</t>
  </si>
  <si>
    <t>Carnaval - Feriado Estadual</t>
  </si>
  <si>
    <t>Cinzas 1° Expediente - Dispensado / 2° Expediente - Compensado</t>
  </si>
  <si>
    <t>Sexta-feira da Paixão - Feriado Municipal</t>
  </si>
  <si>
    <t>Dia de Tiradentes - Feriado Nacional</t>
  </si>
  <si>
    <t>Dia Compensado Facultativo (Dia Normal)</t>
  </si>
  <si>
    <t>Dia de São Jorge - Feriado Estadual</t>
  </si>
  <si>
    <t>Dia do Trabalho - Feriado Nacional</t>
  </si>
  <si>
    <t>Dia de Corpus Christi - Feriado Municipal</t>
  </si>
  <si>
    <t>Independência do Brasil - Feriado Nacional</t>
  </si>
  <si>
    <t>Nossa Senhora Aparecida - Feriado Nacional</t>
  </si>
  <si>
    <t>Finados - Feriado Nacional</t>
  </si>
  <si>
    <t>Proclamação da República - Feriado Nacional</t>
  </si>
  <si>
    <t>Dia Nacional da Consciência Negra - Feriado Nacional</t>
  </si>
  <si>
    <t>Imaculada Conceição - Feriado Municipal</t>
  </si>
  <si>
    <t>1° Expediente - Dispensado / 2° Expediente - Compensado</t>
  </si>
  <si>
    <t>Natal - Feriado Nacional</t>
  </si>
  <si>
    <t>Exemplo de férias</t>
  </si>
  <si>
    <t>Exemplo de marcação de ponto nas férias</t>
  </si>
  <si>
    <t>Use o botão "Novo Controle de Horas" ao lado
para limpar facilmente os dados dos meses e
do calendário e iniciar um controle limpo.</t>
  </si>
  <si>
    <t>Novo ano</t>
  </si>
  <si>
    <r>
      <t xml:space="preserve">Horas
</t>
    </r>
    <r>
      <rPr>
        <b/>
        <sz val="11.9"/>
        <rFont val="Calibri"/>
        <family val="2"/>
        <scheme val="minor"/>
      </rPr>
      <t>Trabalhadas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</si>
</sst>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h:mm;@"/>
    <numFmt numFmtId="165" formatCode="dd/mm/yy;@"/>
    <numFmt numFmtId="166" formatCode="[$-F400]h:mm:ss\ AM/PM"/>
    <numFmt numFmtId="167" formatCode="[h]:mm:ss;@"/>
    <numFmt numFmtId="168" formatCode="[h]:\ mm;\ @"/>
    <numFmt numFmtId="169" formatCode="[h]:mm"/>
    <numFmt numFmtId="170" formatCode="hh\ :\ mm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 Light"/>
      <family val="2"/>
      <scheme val="major"/>
    </font>
    <font>
      <b/>
      <sz val="40"/>
      <color theme="0" tint="-0.499984740745262"/>
      <name val="Calibri"/>
      <family val="2"/>
      <scheme val="minor"/>
    </font>
    <font>
      <b/>
      <sz val="40"/>
      <color theme="7" tint="-0.249977111117893"/>
      <name val="Calibri"/>
      <family val="2"/>
      <scheme val="minor"/>
    </font>
    <font>
      <b/>
      <sz val="18"/>
      <name val="Calibri Light"/>
      <family val="2"/>
      <scheme val="major"/>
    </font>
    <font>
      <b/>
      <sz val="18"/>
      <color theme="0" tint="-0.499984740745262"/>
      <name val="Calibri"/>
      <family val="2"/>
      <scheme val="minor"/>
    </font>
    <font>
      <b/>
      <sz val="22"/>
      <color theme="7" tint="-0.249977111117893"/>
      <name val="Candara"/>
      <family val="2"/>
    </font>
    <font>
      <b/>
      <sz val="22"/>
      <color theme="0" tint="-0.499984740745262"/>
      <name val="Candara"/>
      <family val="2"/>
    </font>
    <font>
      <b/>
      <sz val="40"/>
      <color theme="4" tint="-0.499984740745262"/>
      <name val="Calibri"/>
      <family val="2"/>
      <scheme val="minor"/>
    </font>
    <font>
      <b/>
      <sz val="22"/>
      <color theme="4" tint="-0.499984740745262"/>
      <name val="Candara"/>
      <family val="2"/>
    </font>
    <font>
      <b/>
      <sz val="16"/>
      <color theme="0" tint="-0.499984740745262"/>
      <name val="Calibri Light"/>
      <family val="2"/>
      <scheme val="major"/>
    </font>
    <font>
      <sz val="14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theme="4" tint="-0.499984740745262"/>
      <name val="Courier New"/>
      <family val="3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rgb="FF000000"/>
      <name val="Candara"/>
      <family val="2"/>
    </font>
    <font>
      <b/>
      <sz val="22"/>
      <color theme="9" tint="-0.499984740745262"/>
      <name val="Candara"/>
      <family val="2"/>
    </font>
    <font>
      <b/>
      <sz val="40"/>
      <color theme="9" tint="-0.499984740745262"/>
      <name val="Calibri"/>
      <family val="2"/>
      <scheme val="minor"/>
    </font>
    <font>
      <b/>
      <sz val="11.9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8B6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1B2D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7" tint="0.80001220740379042"/>
        </stop>
        <stop position="1">
          <color theme="7"/>
        </stop>
      </gradientFill>
    </fill>
    <fill>
      <gradientFill>
        <stop position="0">
          <color theme="0" tint="-5.0965910824915313E-2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theme="7" tint="0.59999389629810485"/>
        </stop>
        <stop position="1">
          <color theme="7"/>
        </stop>
      </gradientFill>
    </fill>
    <fill>
      <gradientFill>
        <stop position="0">
          <color theme="7" tint="0.80001220740379042"/>
        </stop>
        <stop position="1">
          <color theme="7" tint="0.59999389629810485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 tint="-5.0965910824915313E-2"/>
        </stop>
        <stop position="1">
          <color theme="0" tint="-0.34900967436750391"/>
        </stop>
      </gradientFill>
    </fill>
    <fill>
      <gradientFill degree="180">
        <stop position="0">
          <color theme="0" tint="-5.0965910824915313E-2"/>
        </stop>
        <stop position="1">
          <color rgb="FF00B050"/>
        </stop>
      </gradientFill>
    </fill>
    <fill>
      <gradientFill degree="180">
        <stop position="0">
          <color theme="0" tint="-5.0965910824915313E-2"/>
        </stop>
        <stop position="1">
          <color theme="4" tint="0.40000610370189521"/>
        </stop>
      </gradientFill>
    </fill>
    <fill>
      <gradientFill degree="180">
        <stop position="0">
          <color theme="0" tint="-5.0965910824915313E-2"/>
        </stop>
        <stop position="1">
          <color theme="4"/>
        </stop>
      </gradientFill>
    </fill>
    <fill>
      <gradientFill degree="180">
        <stop position="0">
          <color theme="0" tint="-5.0965910824915313E-2"/>
        </stop>
        <stop position="1">
          <color rgb="FFFF99FF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40000610370189521"/>
        </stop>
      </gradientFill>
    </fill>
    <fill>
      <gradientFill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auto="1"/>
      </patternFill>
    </fill>
    <fill>
      <gradientFill>
        <stop position="0">
          <color theme="0" tint="-5.0965910824915313E-2"/>
        </stop>
        <stop position="0.5">
          <color theme="0" tint="-0.34900967436750391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180">
        <stop position="0">
          <color theme="0" tint="-5.0965910824915313E-2"/>
        </stop>
        <stop position="1">
          <color theme="9" tint="0.40000610370189521"/>
        </stop>
      </gradientFill>
    </fill>
    <fill>
      <gradientFill>
        <stop position="0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80001220740379042"/>
        </stop>
        <stop position="1">
          <color theme="9" tint="0.59999389629810485"/>
        </stop>
      </gradient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 style="slantDashDot">
        <color theme="0" tint="-0.499984740745262"/>
      </top>
      <bottom/>
      <diagonal/>
    </border>
    <border>
      <left/>
      <right/>
      <top/>
      <bottom style="slantDashDot">
        <color theme="0" tint="-0.499984740745262"/>
      </bottom>
      <diagonal/>
    </border>
    <border>
      <left/>
      <right/>
      <top/>
      <bottom style="slantDashDot">
        <color theme="7" tint="-0.249977111117893"/>
      </bottom>
      <diagonal/>
    </border>
    <border>
      <left/>
      <right/>
      <top style="slantDashDot">
        <color theme="0" tint="-0.499984740745262"/>
      </top>
      <bottom style="thin">
        <color theme="0" tint="-4.9989318521683403E-2"/>
      </bottom>
      <diagonal/>
    </border>
    <border>
      <left/>
      <right/>
      <top/>
      <bottom style="slantDashDot">
        <color theme="4" tint="-0.499984740745262"/>
      </bottom>
      <diagonal/>
    </border>
    <border>
      <left/>
      <right/>
      <top style="slantDashDot">
        <color theme="7" tint="-0.24997711111789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theme="9" tint="-0.499984740745262"/>
      </bottom>
      <diagonal/>
    </border>
    <border>
      <left/>
      <right/>
      <top style="slantDashDot">
        <color theme="9" tint="-0.499984740745262"/>
      </top>
      <bottom/>
      <diagonal/>
    </border>
  </borders>
  <cellStyleXfs count="1">
    <xf numFmtId="0" fontId="0" fillId="0" borderId="0"/>
  </cellStyleXfs>
  <cellXfs count="319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11" fillId="3" borderId="0" xfId="0" applyFont="1" applyFill="1"/>
    <xf numFmtId="0" fontId="11" fillId="0" borderId="0" xfId="0" applyFont="1"/>
    <xf numFmtId="20" fontId="7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3" borderId="0" xfId="0" applyFont="1" applyFill="1"/>
    <xf numFmtId="0" fontId="12" fillId="9" borderId="6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165" fontId="12" fillId="9" borderId="7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69" fontId="12" fillId="9" borderId="22" xfId="0" quotePrefix="1" applyNumberFormat="1" applyFont="1" applyFill="1" applyBorder="1" applyAlignment="1">
      <alignment horizontal="center"/>
    </xf>
    <xf numFmtId="169" fontId="12" fillId="3" borderId="1" xfId="0" quotePrefix="1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 wrapText="1"/>
    </xf>
    <xf numFmtId="170" fontId="12" fillId="3" borderId="11" xfId="0" applyNumberFormat="1" applyFont="1" applyFill="1" applyBorder="1" applyAlignment="1">
      <alignment horizontal="center"/>
    </xf>
    <xf numFmtId="170" fontId="12" fillId="3" borderId="22" xfId="0" applyNumberFormat="1" applyFont="1" applyFill="1" applyBorder="1" applyAlignment="1">
      <alignment horizontal="center"/>
    </xf>
    <xf numFmtId="170" fontId="12" fillId="9" borderId="11" xfId="0" applyNumberFormat="1" applyFont="1" applyFill="1" applyBorder="1" applyAlignment="1">
      <alignment horizontal="center"/>
    </xf>
    <xf numFmtId="170" fontId="12" fillId="9" borderId="13" xfId="0" applyNumberFormat="1" applyFont="1" applyFill="1" applyBorder="1" applyAlignment="1">
      <alignment horizontal="center"/>
    </xf>
    <xf numFmtId="170" fontId="12" fillId="9" borderId="22" xfId="0" applyNumberFormat="1" applyFont="1" applyFill="1" applyBorder="1" applyAlignment="1">
      <alignment horizontal="center"/>
    </xf>
    <xf numFmtId="170" fontId="12" fillId="3" borderId="6" xfId="0" applyNumberFormat="1" applyFont="1" applyFill="1" applyBorder="1" applyAlignment="1">
      <alignment horizontal="center"/>
    </xf>
    <xf numFmtId="170" fontId="12" fillId="3" borderId="7" xfId="0" applyNumberFormat="1" applyFont="1" applyFill="1" applyBorder="1" applyAlignment="1">
      <alignment horizontal="center"/>
    </xf>
    <xf numFmtId="170" fontId="12" fillId="3" borderId="1" xfId="0" applyNumberFormat="1" applyFont="1" applyFill="1" applyBorder="1" applyAlignment="1">
      <alignment horizontal="center"/>
    </xf>
    <xf numFmtId="164" fontId="13" fillId="5" borderId="2" xfId="0" applyNumberFormat="1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165" fontId="12" fillId="9" borderId="22" xfId="0" applyNumberFormat="1" applyFont="1" applyFill="1" applyBorder="1" applyAlignment="1">
      <alignment horizontal="center"/>
    </xf>
    <xf numFmtId="170" fontId="12" fillId="3" borderId="13" xfId="0" applyNumberFormat="1" applyFont="1" applyFill="1" applyBorder="1" applyAlignment="1">
      <alignment horizontal="center"/>
    </xf>
    <xf numFmtId="169" fontId="12" fillId="9" borderId="11" xfId="0" applyNumberFormat="1" applyFont="1" applyFill="1" applyBorder="1" applyAlignment="1">
      <alignment horizontal="center"/>
    </xf>
    <xf numFmtId="169" fontId="12" fillId="9" borderId="13" xfId="0" quotePrefix="1" applyNumberFormat="1" applyFont="1" applyFill="1" applyBorder="1" applyAlignment="1">
      <alignment horizontal="center"/>
    </xf>
    <xf numFmtId="169" fontId="12" fillId="9" borderId="11" xfId="0" quotePrefix="1" applyNumberFormat="1" applyFont="1" applyFill="1" applyBorder="1" applyAlignment="1">
      <alignment horizontal="center"/>
    </xf>
    <xf numFmtId="169" fontId="12" fillId="3" borderId="13" xfId="0" quotePrefix="1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/>
    </xf>
    <xf numFmtId="169" fontId="12" fillId="3" borderId="22" xfId="0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 wrapText="1"/>
    </xf>
    <xf numFmtId="169" fontId="12" fillId="9" borderId="6" xfId="0" quotePrefix="1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8" fillId="18" borderId="0" xfId="0" applyFont="1" applyFill="1"/>
    <xf numFmtId="0" fontId="9" fillId="18" borderId="0" xfId="0" applyFont="1" applyFill="1" applyAlignment="1">
      <alignment horizontal="right"/>
    </xf>
    <xf numFmtId="0" fontId="7" fillId="18" borderId="0" xfId="0" applyFont="1" applyFill="1"/>
    <xf numFmtId="0" fontId="6" fillId="18" borderId="0" xfId="0" applyFont="1" applyFill="1"/>
    <xf numFmtId="0" fontId="11" fillId="18" borderId="0" xfId="0" applyFont="1" applyFill="1"/>
    <xf numFmtId="0" fontId="17" fillId="18" borderId="0" xfId="0" applyFont="1" applyFill="1" applyAlignment="1">
      <alignment horizontal="right"/>
    </xf>
    <xf numFmtId="0" fontId="11" fillId="18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4" fontId="11" fillId="12" borderId="23" xfId="0" applyNumberFormat="1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1" fillId="11" borderId="23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167" fontId="8" fillId="21" borderId="0" xfId="0" applyNumberFormat="1" applyFont="1" applyFill="1" applyAlignment="1">
      <alignment horizontal="left" vertical="center"/>
    </xf>
    <xf numFmtId="0" fontId="8" fillId="21" borderId="0" xfId="0" applyFont="1" applyFill="1" applyAlignment="1">
      <alignment horizontal="left" vertical="center"/>
    </xf>
    <xf numFmtId="0" fontId="18" fillId="21" borderId="0" xfId="0" applyFont="1" applyFill="1" applyAlignment="1">
      <alignment horizontal="centerContinuous" wrapText="1"/>
    </xf>
    <xf numFmtId="0" fontId="18" fillId="20" borderId="0" xfId="0" applyFont="1" applyFill="1" applyAlignment="1">
      <alignment horizontal="right" vertical="center"/>
    </xf>
    <xf numFmtId="0" fontId="15" fillId="20" borderId="0" xfId="0" applyFont="1" applyFill="1" applyAlignment="1">
      <alignment horizontal="right" vertical="center"/>
    </xf>
    <xf numFmtId="0" fontId="15" fillId="21" borderId="0" xfId="0" applyFont="1" applyFill="1" applyAlignment="1">
      <alignment horizontal="left" vertical="center"/>
    </xf>
    <xf numFmtId="0" fontId="20" fillId="26" borderId="0" xfId="0" applyFont="1" applyFill="1" applyAlignment="1">
      <alignment horizontal="left" vertical="center"/>
    </xf>
    <xf numFmtId="0" fontId="20" fillId="27" borderId="0" xfId="0" applyFont="1" applyFill="1" applyAlignment="1">
      <alignment horizontal="right" vertical="center"/>
    </xf>
    <xf numFmtId="0" fontId="15" fillId="28" borderId="24" xfId="0" applyFont="1" applyFill="1" applyBorder="1" applyAlignment="1">
      <alignment horizontal="left"/>
    </xf>
    <xf numFmtId="0" fontId="15" fillId="29" borderId="24" xfId="0" applyFont="1" applyFill="1" applyBorder="1" applyAlignment="1">
      <alignment horizontal="left"/>
    </xf>
    <xf numFmtId="0" fontId="15" fillId="30" borderId="24" xfId="0" applyFont="1" applyFill="1" applyBorder="1" applyAlignment="1">
      <alignment horizontal="left"/>
    </xf>
    <xf numFmtId="0" fontId="15" fillId="31" borderId="24" xfId="0" applyFont="1" applyFill="1" applyBorder="1" applyAlignment="1">
      <alignment horizontal="left"/>
    </xf>
    <xf numFmtId="0" fontId="23" fillId="32" borderId="29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left" vertical="center"/>
    </xf>
    <xf numFmtId="0" fontId="24" fillId="18" borderId="27" xfId="0" applyFont="1" applyFill="1" applyBorder="1"/>
    <xf numFmtId="0" fontId="18" fillId="24" borderId="0" xfId="0" applyFont="1" applyFill="1" applyAlignment="1">
      <alignment horizontal="centerContinuous"/>
    </xf>
    <xf numFmtId="0" fontId="18" fillId="25" borderId="0" xfId="0" applyFont="1" applyFill="1" applyAlignment="1">
      <alignment horizontal="centerContinuous"/>
    </xf>
    <xf numFmtId="0" fontId="15" fillId="18" borderId="0" xfId="0" applyFont="1" applyFill="1"/>
    <xf numFmtId="0" fontId="29" fillId="18" borderId="0" xfId="0" applyFont="1" applyFill="1" applyAlignment="1">
      <alignment horizontal="right"/>
    </xf>
    <xf numFmtId="0" fontId="21" fillId="36" borderId="0" xfId="0" applyFont="1" applyFill="1" applyAlignment="1">
      <alignment vertical="center"/>
    </xf>
    <xf numFmtId="0" fontId="19" fillId="36" borderId="0" xfId="0" applyFont="1" applyFill="1" applyAlignment="1">
      <alignment vertical="center" wrapText="1"/>
    </xf>
    <xf numFmtId="0" fontId="18" fillId="18" borderId="0" xfId="0" applyFont="1" applyFill="1"/>
    <xf numFmtId="0" fontId="30" fillId="33" borderId="0" xfId="0" applyFont="1" applyFill="1"/>
    <xf numFmtId="0" fontId="34" fillId="33" borderId="0" xfId="0" applyFont="1" applyFill="1" applyAlignment="1">
      <alignment horizontal="justify" wrapText="1"/>
    </xf>
    <xf numFmtId="0" fontId="15" fillId="18" borderId="0" xfId="0" applyFont="1" applyFill="1" applyAlignment="1">
      <alignment vertical="top" wrapText="1"/>
    </xf>
    <xf numFmtId="0" fontId="24" fillId="18" borderId="0" xfId="0" applyFont="1" applyFill="1"/>
    <xf numFmtId="0" fontId="15" fillId="18" borderId="0" xfId="0" applyFont="1" applyFill="1" applyAlignment="1">
      <alignment horizontal="left" vertical="top" wrapText="1"/>
    </xf>
    <xf numFmtId="0" fontId="36" fillId="20" borderId="0" xfId="0" applyFont="1" applyFill="1" applyAlignment="1">
      <alignment horizontal="right"/>
    </xf>
    <xf numFmtId="0" fontId="20" fillId="36" borderId="0" xfId="0" applyFont="1" applyFill="1" applyAlignment="1">
      <alignment horizontal="right" vertical="center"/>
    </xf>
    <xf numFmtId="167" fontId="37" fillId="9" borderId="33" xfId="0" applyNumberFormat="1" applyFont="1" applyFill="1" applyBorder="1" applyAlignment="1">
      <alignment horizontal="center" vertical="center"/>
    </xf>
    <xf numFmtId="167" fontId="38" fillId="9" borderId="33" xfId="0" applyNumberFormat="1" applyFont="1" applyFill="1" applyBorder="1" applyAlignment="1">
      <alignment horizontal="center" vertical="center"/>
    </xf>
    <xf numFmtId="167" fontId="37" fillId="9" borderId="34" xfId="0" applyNumberFormat="1" applyFont="1" applyFill="1" applyBorder="1" applyAlignment="1">
      <alignment horizontal="center" vertical="center"/>
    </xf>
    <xf numFmtId="0" fontId="40" fillId="38" borderId="16" xfId="0" applyFont="1" applyFill="1" applyBorder="1" applyAlignment="1">
      <alignment horizontal="center" vertical="top"/>
    </xf>
    <xf numFmtId="167" fontId="37" fillId="9" borderId="3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/>
    </xf>
    <xf numFmtId="0" fontId="14" fillId="16" borderId="33" xfId="0" applyFont="1" applyFill="1" applyBorder="1" applyAlignment="1">
      <alignment horizontal="center"/>
    </xf>
    <xf numFmtId="165" fontId="11" fillId="17" borderId="6" xfId="0" applyNumberFormat="1" applyFont="1" applyFill="1" applyBorder="1" applyAlignment="1">
      <alignment horizontal="center" vertical="center"/>
    </xf>
    <xf numFmtId="170" fontId="11" fillId="17" borderId="1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70" fontId="11" fillId="3" borderId="1" xfId="0" applyNumberFormat="1" applyFont="1" applyFill="1" applyBorder="1" applyAlignment="1">
      <alignment horizontal="center" vertical="center"/>
    </xf>
    <xf numFmtId="165" fontId="11" fillId="3" borderId="8" xfId="0" applyNumberFormat="1" applyFont="1" applyFill="1" applyBorder="1" applyAlignment="1">
      <alignment horizontal="center" vertical="center"/>
    </xf>
    <xf numFmtId="170" fontId="11" fillId="3" borderId="9" xfId="0" applyNumberFormat="1" applyFont="1" applyFill="1" applyBorder="1" applyAlignment="1">
      <alignment horizontal="center" vertical="center"/>
    </xf>
    <xf numFmtId="170" fontId="12" fillId="9" borderId="1" xfId="0" applyNumberFormat="1" applyFont="1" applyFill="1" applyBorder="1" applyAlignment="1">
      <alignment horizontal="center"/>
    </xf>
    <xf numFmtId="169" fontId="12" fillId="9" borderId="1" xfId="0" quotePrefix="1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 vertical="top"/>
    </xf>
    <xf numFmtId="0" fontId="17" fillId="38" borderId="0" xfId="0" applyFont="1" applyFill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169" fontId="12" fillId="9" borderId="40" xfId="0" quotePrefix="1" applyNumberFormat="1" applyFont="1" applyFill="1" applyBorder="1" applyAlignment="1">
      <alignment horizontal="center"/>
    </xf>
    <xf numFmtId="169" fontId="12" fillId="3" borderId="40" xfId="0" quotePrefix="1" applyNumberFormat="1" applyFont="1" applyFill="1" applyBorder="1" applyAlignment="1">
      <alignment horizontal="center"/>
    </xf>
    <xf numFmtId="169" fontId="12" fillId="3" borderId="40" xfId="0" applyNumberFormat="1" applyFont="1" applyFill="1" applyBorder="1" applyAlignment="1">
      <alignment horizontal="center"/>
    </xf>
    <xf numFmtId="0" fontId="12" fillId="9" borderId="40" xfId="0" applyFont="1" applyFill="1" applyBorder="1" applyAlignment="1">
      <alignment horizontal="center"/>
    </xf>
    <xf numFmtId="170" fontId="12" fillId="3" borderId="40" xfId="0" applyNumberFormat="1" applyFont="1" applyFill="1" applyBorder="1" applyAlignment="1">
      <alignment horizontal="center"/>
    </xf>
    <xf numFmtId="170" fontId="12" fillId="9" borderId="40" xfId="0" applyNumberFormat="1" applyFont="1" applyFill="1" applyBorder="1" applyAlignment="1">
      <alignment horizontal="center"/>
    </xf>
    <xf numFmtId="166" fontId="1" fillId="3" borderId="14" xfId="0" applyNumberFormat="1" applyFont="1" applyFill="1" applyBorder="1" applyAlignment="1">
      <alignment horizontal="left" vertical="center"/>
    </xf>
    <xf numFmtId="164" fontId="1" fillId="3" borderId="14" xfId="0" applyNumberFormat="1" applyFon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/>
    </xf>
    <xf numFmtId="168" fontId="0" fillId="3" borderId="14" xfId="0" applyNumberFormat="1" applyFill="1" applyBorder="1" applyAlignment="1">
      <alignment horizontal="center"/>
    </xf>
    <xf numFmtId="164" fontId="12" fillId="3" borderId="22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164" fontId="12" fillId="3" borderId="7" xfId="0" applyNumberFormat="1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left"/>
    </xf>
    <xf numFmtId="170" fontId="12" fillId="3" borderId="42" xfId="0" applyNumberFormat="1" applyFont="1" applyFill="1" applyBorder="1" applyAlignment="1">
      <alignment horizontal="center"/>
    </xf>
    <xf numFmtId="170" fontId="12" fillId="9" borderId="6" xfId="0" applyNumberFormat="1" applyFont="1" applyFill="1" applyBorder="1" applyAlignment="1">
      <alignment horizontal="center"/>
    </xf>
    <xf numFmtId="170" fontId="12" fillId="9" borderId="42" xfId="0" applyNumberFormat="1" applyFont="1" applyFill="1" applyBorder="1" applyAlignment="1">
      <alignment horizontal="center"/>
    </xf>
    <xf numFmtId="169" fontId="12" fillId="9" borderId="6" xfId="0" applyNumberFormat="1" applyFont="1" applyFill="1" applyBorder="1" applyAlignment="1">
      <alignment horizontal="center"/>
    </xf>
    <xf numFmtId="169" fontId="12" fillId="9" borderId="42" xfId="0" applyNumberFormat="1" applyFont="1" applyFill="1" applyBorder="1" applyAlignment="1">
      <alignment horizontal="center"/>
    </xf>
    <xf numFmtId="169" fontId="12" fillId="9" borderId="42" xfId="0" quotePrefix="1" applyNumberFormat="1" applyFont="1" applyFill="1" applyBorder="1" applyAlignment="1">
      <alignment horizontal="center"/>
    </xf>
    <xf numFmtId="164" fontId="12" fillId="9" borderId="38" xfId="0" applyNumberFormat="1" applyFont="1" applyFill="1" applyBorder="1" applyAlignment="1">
      <alignment horizontal="left" vertical="center"/>
    </xf>
    <xf numFmtId="164" fontId="12" fillId="9" borderId="43" xfId="0" applyNumberFormat="1" applyFont="1" applyFill="1" applyBorder="1" applyAlignment="1">
      <alignment horizontal="left" vertical="center"/>
    </xf>
    <xf numFmtId="164" fontId="12" fillId="9" borderId="44" xfId="0" applyNumberFormat="1" applyFont="1" applyFill="1" applyBorder="1" applyAlignment="1">
      <alignment horizontal="left" vertical="center"/>
    </xf>
    <xf numFmtId="170" fontId="12" fillId="3" borderId="45" xfId="0" applyNumberFormat="1" applyFont="1" applyFill="1" applyBorder="1" applyAlignment="1">
      <alignment horizontal="center"/>
    </xf>
    <xf numFmtId="170" fontId="12" fillId="9" borderId="7" xfId="0" applyNumberFormat="1" applyFont="1" applyFill="1" applyBorder="1" applyAlignment="1">
      <alignment horizontal="center"/>
    </xf>
    <xf numFmtId="170" fontId="12" fillId="9" borderId="45" xfId="0" applyNumberFormat="1" applyFont="1" applyFill="1" applyBorder="1" applyAlignment="1">
      <alignment horizontal="center"/>
    </xf>
    <xf numFmtId="169" fontId="12" fillId="9" borderId="7" xfId="0" quotePrefix="1" applyNumberFormat="1" applyFont="1" applyFill="1" applyBorder="1" applyAlignment="1">
      <alignment horizontal="center"/>
    </xf>
    <xf numFmtId="169" fontId="12" fillId="9" borderId="45" xfId="0" quotePrefix="1" applyNumberFormat="1" applyFont="1" applyFill="1" applyBorder="1" applyAlignment="1">
      <alignment horizontal="center"/>
    </xf>
    <xf numFmtId="169" fontId="12" fillId="3" borderId="45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 wrapText="1"/>
    </xf>
    <xf numFmtId="167" fontId="39" fillId="38" borderId="0" xfId="0" applyNumberFormat="1" applyFont="1" applyFill="1" applyAlignment="1">
      <alignment vertical="center"/>
    </xf>
    <xf numFmtId="0" fontId="17" fillId="38" borderId="16" xfId="0" applyFont="1" applyFill="1" applyBorder="1" applyAlignment="1">
      <alignment horizontal="center" vertical="top"/>
    </xf>
    <xf numFmtId="0" fontId="17" fillId="38" borderId="18" xfId="0" applyFont="1" applyFill="1" applyBorder="1" applyAlignment="1">
      <alignment horizontal="center" vertical="top"/>
    </xf>
    <xf numFmtId="0" fontId="17" fillId="38" borderId="19" xfId="0" applyFont="1" applyFill="1" applyBorder="1" applyAlignment="1">
      <alignment horizontal="center" vertical="top"/>
    </xf>
    <xf numFmtId="0" fontId="17" fillId="38" borderId="0" xfId="0" applyFont="1" applyFill="1" applyAlignment="1">
      <alignment vertical="top"/>
    </xf>
    <xf numFmtId="169" fontId="12" fillId="3" borderId="22" xfId="0" applyNumberFormat="1" applyFont="1" applyFill="1" applyBorder="1" applyAlignment="1">
      <alignment horizontal="center" wrapText="1"/>
    </xf>
    <xf numFmtId="167" fontId="38" fillId="9" borderId="5" xfId="0" applyNumberFormat="1" applyFont="1" applyFill="1" applyBorder="1" applyAlignment="1">
      <alignment horizontal="center" vertical="center"/>
    </xf>
    <xf numFmtId="0" fontId="1" fillId="38" borderId="0" xfId="0" applyFont="1" applyFill="1"/>
    <xf numFmtId="0" fontId="1" fillId="38" borderId="16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167" fontId="13" fillId="9" borderId="1" xfId="0" applyNumberFormat="1" applyFont="1" applyFill="1" applyBorder="1" applyAlignment="1">
      <alignment horizontal="center"/>
    </xf>
    <xf numFmtId="167" fontId="17" fillId="9" borderId="1" xfId="0" applyNumberFormat="1" applyFont="1" applyFill="1" applyBorder="1" applyAlignment="1">
      <alignment horizontal="center"/>
    </xf>
    <xf numFmtId="167" fontId="37" fillId="9" borderId="46" xfId="0" applyNumberFormat="1" applyFont="1" applyFill="1" applyBorder="1" applyAlignment="1">
      <alignment horizontal="center" vertical="center"/>
    </xf>
    <xf numFmtId="164" fontId="12" fillId="9" borderId="50" xfId="0" applyNumberFormat="1" applyFont="1" applyFill="1" applyBorder="1" applyAlignment="1">
      <alignment horizontal="left" vertical="center"/>
    </xf>
    <xf numFmtId="164" fontId="12" fillId="9" borderId="51" xfId="0" applyNumberFormat="1" applyFont="1" applyFill="1" applyBorder="1" applyAlignment="1">
      <alignment horizontal="left" vertical="center"/>
    </xf>
    <xf numFmtId="164" fontId="12" fillId="9" borderId="52" xfId="0" applyNumberFormat="1" applyFont="1" applyFill="1" applyBorder="1" applyAlignment="1">
      <alignment horizontal="left" vertical="center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left"/>
      <protection locked="0"/>
    </xf>
    <xf numFmtId="4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15" borderId="0" xfId="0" applyFont="1" applyFill="1" applyAlignment="1">
      <alignment horizontal="left"/>
    </xf>
    <xf numFmtId="0" fontId="15" fillId="15" borderId="0" xfId="0" applyFont="1" applyFill="1"/>
    <xf numFmtId="0" fontId="42" fillId="16" borderId="5" xfId="0" applyFont="1" applyFill="1" applyBorder="1" applyAlignment="1">
      <alignment horizontal="center"/>
    </xf>
    <xf numFmtId="0" fontId="42" fillId="16" borderId="33" xfId="0" applyFont="1" applyFill="1" applyBorder="1" applyAlignment="1">
      <alignment horizontal="center"/>
    </xf>
    <xf numFmtId="0" fontId="11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49" fontId="11" fillId="3" borderId="0" xfId="0" applyNumberFormat="1" applyFont="1" applyFill="1" applyAlignment="1">
      <alignment horizontal="center"/>
    </xf>
    <xf numFmtId="0" fontId="43" fillId="3" borderId="0" xfId="0" applyFont="1" applyFill="1" applyAlignment="1">
      <alignment horizontal="center"/>
    </xf>
    <xf numFmtId="0" fontId="43" fillId="3" borderId="0" xfId="0" applyFont="1" applyFill="1" applyAlignment="1">
      <alignment horizontal="center" vertical="center"/>
    </xf>
    <xf numFmtId="166" fontId="17" fillId="3" borderId="14" xfId="0" applyNumberFormat="1" applyFont="1" applyFill="1" applyBorder="1" applyAlignment="1">
      <alignment horizontal="left" vertical="center"/>
    </xf>
    <xf numFmtId="164" fontId="17" fillId="3" borderId="14" xfId="0" applyNumberFormat="1" applyFont="1" applyFill="1" applyBorder="1" applyAlignment="1">
      <alignment horizontal="center" vertical="center"/>
    </xf>
    <xf numFmtId="166" fontId="11" fillId="3" borderId="14" xfId="0" applyNumberFormat="1" applyFont="1" applyFill="1" applyBorder="1" applyAlignment="1">
      <alignment horizontal="center"/>
    </xf>
    <xf numFmtId="168" fontId="11" fillId="3" borderId="14" xfId="0" applyNumberFormat="1" applyFont="1" applyFill="1" applyBorder="1" applyAlignment="1">
      <alignment horizontal="center"/>
    </xf>
    <xf numFmtId="170" fontId="12" fillId="3" borderId="11" xfId="0" applyNumberFormat="1" applyFont="1" applyFill="1" applyBorder="1" applyAlignment="1" applyProtection="1">
      <alignment horizontal="center"/>
      <protection locked="0"/>
    </xf>
    <xf numFmtId="170" fontId="12" fillId="3" borderId="13" xfId="0" applyNumberFormat="1" applyFont="1" applyFill="1" applyBorder="1" applyAlignment="1" applyProtection="1">
      <alignment horizontal="center"/>
      <protection locked="0"/>
    </xf>
    <xf numFmtId="170" fontId="12" fillId="3" borderId="22" xfId="0" applyNumberFormat="1" applyFont="1" applyFill="1" applyBorder="1" applyAlignment="1" applyProtection="1">
      <alignment horizontal="center"/>
      <protection locked="0"/>
    </xf>
    <xf numFmtId="170" fontId="12" fillId="3" borderId="6" xfId="0" applyNumberFormat="1" applyFont="1" applyFill="1" applyBorder="1" applyAlignment="1" applyProtection="1">
      <alignment horizontal="center"/>
      <protection locked="0"/>
    </xf>
    <xf numFmtId="170" fontId="12" fillId="3" borderId="1" xfId="0" applyNumberFormat="1" applyFont="1" applyFill="1" applyBorder="1" applyAlignment="1" applyProtection="1">
      <alignment horizontal="center"/>
      <protection locked="0"/>
    </xf>
    <xf numFmtId="170" fontId="12" fillId="3" borderId="7" xfId="0" applyNumberFormat="1" applyFont="1" applyFill="1" applyBorder="1" applyAlignment="1" applyProtection="1">
      <alignment horizontal="center"/>
      <protection locked="0"/>
    </xf>
    <xf numFmtId="170" fontId="12" fillId="3" borderId="1" xfId="0" quotePrefix="1" applyNumberFormat="1" applyFont="1" applyFill="1" applyBorder="1" applyAlignment="1" applyProtection="1">
      <alignment horizontal="center"/>
      <protection locked="0"/>
    </xf>
    <xf numFmtId="170" fontId="12" fillId="3" borderId="40" xfId="0" applyNumberFormat="1" applyFont="1" applyFill="1" applyBorder="1" applyAlignment="1" applyProtection="1">
      <alignment horizontal="center"/>
      <protection locked="0"/>
    </xf>
    <xf numFmtId="170" fontId="12" fillId="3" borderId="42" xfId="0" applyNumberFormat="1" applyFont="1" applyFill="1" applyBorder="1" applyAlignment="1" applyProtection="1">
      <alignment horizontal="center"/>
      <protection locked="0"/>
    </xf>
    <xf numFmtId="170" fontId="12" fillId="3" borderId="45" xfId="0" applyNumberFormat="1" applyFont="1" applyFill="1" applyBorder="1" applyAlignment="1" applyProtection="1">
      <alignment horizontal="center"/>
      <protection locked="0"/>
    </xf>
    <xf numFmtId="0" fontId="8" fillId="19" borderId="0" xfId="0" applyFont="1" applyFill="1" applyAlignment="1" applyProtection="1">
      <alignment horizontal="left" vertical="center"/>
      <protection locked="0"/>
    </xf>
    <xf numFmtId="169" fontId="12" fillId="3" borderId="13" xfId="0" quotePrefix="1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/>
      <protection locked="0"/>
    </xf>
    <xf numFmtId="169" fontId="12" fillId="3" borderId="22" xfId="0" applyNumberFormat="1" applyFont="1" applyFill="1" applyBorder="1" applyAlignment="1" applyProtection="1">
      <alignment horizontal="center"/>
      <protection locked="0"/>
    </xf>
    <xf numFmtId="169" fontId="12" fillId="3" borderId="1" xfId="0" quotePrefix="1" applyNumberFormat="1" applyFont="1" applyFill="1" applyBorder="1" applyAlignment="1" applyProtection="1">
      <alignment horizontal="center"/>
      <protection locked="0"/>
    </xf>
    <xf numFmtId="169" fontId="12" fillId="3" borderId="7" xfId="0" applyNumberFormat="1" applyFont="1" applyFill="1" applyBorder="1" applyAlignment="1" applyProtection="1">
      <alignment horizontal="center"/>
      <protection locked="0"/>
    </xf>
    <xf numFmtId="169" fontId="12" fillId="3" borderId="1" xfId="0" applyNumberFormat="1" applyFont="1" applyFill="1" applyBorder="1" applyAlignment="1" applyProtection="1">
      <alignment horizontal="center"/>
      <protection locked="0"/>
    </xf>
    <xf numFmtId="169" fontId="12" fillId="3" borderId="40" xfId="0" quotePrefix="1" applyNumberFormat="1" applyFont="1" applyFill="1" applyBorder="1" applyAlignment="1" applyProtection="1">
      <alignment horizontal="center"/>
      <protection locked="0"/>
    </xf>
    <xf numFmtId="169" fontId="12" fillId="3" borderId="40" xfId="0" applyNumberFormat="1" applyFont="1" applyFill="1" applyBorder="1" applyAlignment="1" applyProtection="1">
      <alignment horizontal="center"/>
      <protection locked="0"/>
    </xf>
    <xf numFmtId="169" fontId="12" fillId="3" borderId="45" xfId="0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 wrapText="1"/>
      <protection locked="0"/>
    </xf>
    <xf numFmtId="169" fontId="12" fillId="3" borderId="34" xfId="0" applyNumberFormat="1" applyFont="1" applyFill="1" applyBorder="1" applyAlignment="1" applyProtection="1">
      <alignment horizontal="center" wrapText="1"/>
      <protection locked="0"/>
    </xf>
    <xf numFmtId="169" fontId="12" fillId="3" borderId="1" xfId="0" applyNumberFormat="1" applyFont="1" applyFill="1" applyBorder="1" applyAlignment="1" applyProtection="1">
      <alignment horizontal="center" wrapText="1"/>
      <protection locked="0"/>
    </xf>
    <xf numFmtId="169" fontId="12" fillId="3" borderId="7" xfId="0" applyNumberFormat="1" applyFont="1" applyFill="1" applyBorder="1" applyAlignment="1" applyProtection="1">
      <alignment horizontal="center" wrapText="1"/>
      <protection locked="0"/>
    </xf>
    <xf numFmtId="169" fontId="12" fillId="3" borderId="10" xfId="0" applyNumberFormat="1" applyFont="1" applyFill="1" applyBorder="1" applyAlignment="1" applyProtection="1">
      <alignment horizontal="center"/>
      <protection locked="0"/>
    </xf>
    <xf numFmtId="164" fontId="12" fillId="3" borderId="53" xfId="0" applyNumberFormat="1" applyFont="1" applyFill="1" applyBorder="1" applyAlignment="1" applyProtection="1">
      <alignment horizontal="left"/>
      <protection locked="0"/>
    </xf>
    <xf numFmtId="0" fontId="12" fillId="3" borderId="49" xfId="0" applyFont="1" applyFill="1" applyBorder="1" applyAlignment="1" applyProtection="1">
      <alignment horizontal="left"/>
      <protection locked="0"/>
    </xf>
    <xf numFmtId="164" fontId="12" fillId="3" borderId="49" xfId="0" applyNumberFormat="1" applyFont="1" applyFill="1" applyBorder="1" applyAlignment="1" applyProtection="1">
      <alignment horizontal="left"/>
      <protection locked="0"/>
    </xf>
    <xf numFmtId="164" fontId="12" fillId="3" borderId="54" xfId="0" applyNumberFormat="1" applyFont="1" applyFill="1" applyBorder="1" applyAlignment="1" applyProtection="1">
      <alignment horizontal="left"/>
      <protection locked="0"/>
    </xf>
    <xf numFmtId="165" fontId="11" fillId="17" borderId="6" xfId="0" applyNumberFormat="1" applyFont="1" applyFill="1" applyBorder="1" applyAlignment="1" applyProtection="1">
      <alignment horizontal="center" vertical="center"/>
      <protection locked="0"/>
    </xf>
    <xf numFmtId="170" fontId="11" fillId="17" borderId="1" xfId="0" applyNumberFormat="1" applyFont="1" applyFill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8" xfId="0" applyNumberFormat="1" applyFont="1" applyBorder="1" applyAlignment="1" applyProtection="1">
      <alignment horizontal="center" vertical="center"/>
      <protection locked="0"/>
    </xf>
    <xf numFmtId="170" fontId="11" fillId="0" borderId="9" xfId="0" applyNumberFormat="1" applyFont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1" fillId="33" borderId="0" xfId="0" applyFont="1" applyFill="1" applyAlignment="1">
      <alignment horizontal="justify" wrapText="1"/>
    </xf>
    <xf numFmtId="0" fontId="15" fillId="3" borderId="0" xfId="0" applyFont="1" applyFill="1"/>
    <xf numFmtId="0" fontId="18" fillId="3" borderId="0" xfId="0" applyFont="1" applyFill="1"/>
    <xf numFmtId="0" fontId="17" fillId="39" borderId="23" xfId="0" applyFont="1" applyFill="1" applyBorder="1" applyAlignment="1">
      <alignment horizontal="center"/>
    </xf>
    <xf numFmtId="0" fontId="15" fillId="40" borderId="24" xfId="0" applyFont="1" applyFill="1" applyBorder="1" applyAlignment="1">
      <alignment horizontal="left"/>
    </xf>
    <xf numFmtId="0" fontId="30" fillId="3" borderId="0" xfId="0" applyFont="1" applyFill="1"/>
    <xf numFmtId="0" fontId="31" fillId="3" borderId="0" xfId="0" applyFont="1" applyFill="1" applyAlignment="1">
      <alignment horizontal="justify" wrapText="1"/>
    </xf>
    <xf numFmtId="0" fontId="31" fillId="33" borderId="0" xfId="0" applyFont="1" applyFill="1" applyAlignment="1">
      <alignment horizontal="justify" wrapText="1"/>
    </xf>
    <xf numFmtId="0" fontId="26" fillId="24" borderId="27" xfId="0" applyFont="1" applyFill="1" applyBorder="1" applyAlignment="1">
      <alignment horizontal="right"/>
    </xf>
    <xf numFmtId="0" fontId="19" fillId="25" borderId="0" xfId="0" applyFont="1" applyFill="1" applyAlignment="1">
      <alignment horizontal="right" vertical="center" wrapText="1"/>
    </xf>
    <xf numFmtId="0" fontId="19" fillId="25" borderId="0" xfId="0" applyFont="1" applyFill="1" applyAlignment="1">
      <alignment horizontal="right" vertical="center"/>
    </xf>
    <xf numFmtId="0" fontId="21" fillId="24" borderId="26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right"/>
    </xf>
    <xf numFmtId="0" fontId="21" fillId="24" borderId="26" xfId="0" applyFont="1" applyFill="1" applyBorder="1" applyAlignment="1">
      <alignment vertical="center"/>
    </xf>
    <xf numFmtId="0" fontId="20" fillId="37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justify" vertical="top" wrapText="1"/>
    </xf>
    <xf numFmtId="0" fontId="15" fillId="18" borderId="0" xfId="0" applyFont="1" applyFill="1" applyAlignment="1">
      <alignment horizontal="justify" vertical="top" wrapText="1"/>
    </xf>
    <xf numFmtId="0" fontId="30" fillId="33" borderId="0" xfId="0" applyFont="1" applyFill="1" applyAlignment="1">
      <alignment horizontal="justify" wrapText="1"/>
    </xf>
    <xf numFmtId="0" fontId="28" fillId="35" borderId="0" xfId="0" applyFont="1" applyFill="1" applyAlignment="1">
      <alignment horizontal="right"/>
    </xf>
    <xf numFmtId="0" fontId="28" fillId="35" borderId="30" xfId="0" applyFont="1" applyFill="1" applyBorder="1" applyAlignment="1">
      <alignment horizontal="right"/>
    </xf>
    <xf numFmtId="0" fontId="27" fillId="35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right" vertical="center" wrapText="1"/>
    </xf>
    <xf numFmtId="0" fontId="9" fillId="20" borderId="0" xfId="0" applyFont="1" applyFill="1" applyAlignment="1">
      <alignment horizontal="right" vertical="center"/>
    </xf>
    <xf numFmtId="0" fontId="21" fillId="24" borderId="0" xfId="0" applyFont="1" applyFill="1" applyAlignment="1">
      <alignment horizontal="center" vertical="center"/>
    </xf>
    <xf numFmtId="0" fontId="45" fillId="42" borderId="55" xfId="0" applyFont="1" applyFill="1" applyBorder="1" applyAlignment="1">
      <alignment horizontal="right"/>
    </xf>
    <xf numFmtId="0" fontId="19" fillId="41" borderId="0" xfId="0" applyFont="1" applyFill="1" applyAlignment="1">
      <alignment horizontal="right" vertical="center" wrapText="1"/>
    </xf>
    <xf numFmtId="0" fontId="46" fillId="42" borderId="0" xfId="0" applyFont="1" applyFill="1" applyAlignment="1">
      <alignment horizontal="center" vertical="center"/>
    </xf>
    <xf numFmtId="0" fontId="25" fillId="23" borderId="28" xfId="0" applyFont="1" applyFill="1" applyBorder="1" applyAlignment="1">
      <alignment horizontal="right"/>
    </xf>
    <xf numFmtId="0" fontId="22" fillId="23" borderId="31" xfId="0" applyFont="1" applyFill="1" applyBorder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right" vertical="center" wrapText="1"/>
    </xf>
    <xf numFmtId="0" fontId="30" fillId="33" borderId="0" xfId="0" applyFont="1" applyFill="1" applyAlignment="1">
      <alignment wrapText="1"/>
    </xf>
    <xf numFmtId="0" fontId="13" fillId="5" borderId="41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4" fillId="16" borderId="33" xfId="0" applyFont="1" applyFill="1" applyBorder="1" applyAlignment="1">
      <alignment horizontal="left"/>
    </xf>
    <xf numFmtId="0" fontId="14" fillId="16" borderId="34" xfId="0" applyFont="1" applyFill="1" applyBorder="1" applyAlignment="1">
      <alignment horizontal="left"/>
    </xf>
    <xf numFmtId="0" fontId="11" fillId="17" borderId="1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167" fontId="41" fillId="9" borderId="36" xfId="0" applyNumberFormat="1" applyFont="1" applyFill="1" applyBorder="1" applyAlignment="1">
      <alignment horizontal="center" vertical="center"/>
    </xf>
    <xf numFmtId="167" fontId="41" fillId="9" borderId="32" xfId="0" applyNumberFormat="1" applyFont="1" applyFill="1" applyBorder="1" applyAlignment="1">
      <alignment horizontal="center" vertical="center"/>
    </xf>
    <xf numFmtId="167" fontId="41" fillId="9" borderId="37" xfId="0" applyNumberFormat="1" applyFont="1" applyFill="1" applyBorder="1" applyAlignment="1">
      <alignment horizontal="center" vertical="center"/>
    </xf>
    <xf numFmtId="167" fontId="41" fillId="9" borderId="12" xfId="0" applyNumberFormat="1" applyFont="1" applyFill="1" applyBorder="1" applyAlignment="1">
      <alignment horizontal="center" vertical="center"/>
    </xf>
    <xf numFmtId="167" fontId="41" fillId="9" borderId="39" xfId="0" applyNumberFormat="1" applyFont="1" applyFill="1" applyBorder="1" applyAlignment="1">
      <alignment horizontal="center" vertical="center"/>
    </xf>
    <xf numFmtId="167" fontId="41" fillId="9" borderId="38" xfId="0" applyNumberFormat="1" applyFont="1" applyFill="1" applyBorder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0" fontId="11" fillId="3" borderId="1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8" fillId="38" borderId="15" xfId="0" applyFont="1" applyFill="1" applyBorder="1" applyAlignment="1">
      <alignment horizontal="center" vertical="center"/>
    </xf>
    <xf numFmtId="0" fontId="8" fillId="38" borderId="17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7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9" xfId="0" applyFont="1" applyBorder="1" applyAlignment="1" applyProtection="1">
      <alignment vertical="center"/>
      <protection locked="0"/>
    </xf>
    <xf numFmtId="0" fontId="42" fillId="16" borderId="33" xfId="0" applyFont="1" applyFill="1" applyBorder="1" applyAlignment="1">
      <alignment horizontal="left"/>
    </xf>
    <xf numFmtId="0" fontId="42" fillId="16" borderId="34" xfId="0" applyFont="1" applyFill="1" applyBorder="1" applyAlignment="1">
      <alignment horizontal="left"/>
    </xf>
    <xf numFmtId="0" fontId="11" fillId="17" borderId="1" xfId="0" applyFont="1" applyFill="1" applyBorder="1" applyAlignment="1" applyProtection="1">
      <alignment vertical="center"/>
      <protection locked="0"/>
    </xf>
    <xf numFmtId="0" fontId="11" fillId="17" borderId="7" xfId="0" applyFont="1" applyFill="1" applyBorder="1" applyAlignment="1" applyProtection="1">
      <alignment vertical="center"/>
      <protection locked="0"/>
    </xf>
    <xf numFmtId="0" fontId="46" fillId="42" borderId="56" xfId="0" applyFont="1" applyFill="1" applyBorder="1" applyAlignment="1">
      <alignment horizontal="center" vertical="center"/>
    </xf>
  </cellXfs>
  <cellStyles count="1">
    <cellStyle name="Normal" xfId="0" builtinId="0"/>
  </cellStyles>
  <dxfs count="575"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8"/>
        <color auto="1"/>
        <name val="Calibri Light"/>
        <family val="2"/>
        <scheme val="maj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dd/mm/yy;@"/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6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protection locked="1" hidden="0"/>
    </dxf>
    <dxf>
      <border>
        <left style="thin">
          <color theme="7" tint="0.79998168889431442"/>
        </left>
        <right style="thin">
          <color theme="7" tint="0.79998168889431442"/>
        </right>
        <bottom style="thin">
          <color theme="7" tint="0.79998168889431442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7" tint="0.79998168889431442"/>
        </left>
        <right style="thin">
          <color theme="7" tint="0.79998168889431442"/>
        </right>
        <top style="thin">
          <color theme="7" tint="0.79998168889431442"/>
        </top>
        <bottom style="thin">
          <color theme="7" tint="0.79998168889431442"/>
        </bottom>
        <horizontal style="thin">
          <color theme="7" tint="0.79998168889431442"/>
        </horizontal>
      </border>
    </dxf>
    <dxf>
      <border>
        <left style="thin">
          <color theme="1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font>
        <b val="0"/>
        <i val="0"/>
      </font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00B050"/>
        </top>
      </border>
    </dxf>
    <dxf>
      <font>
        <b/>
        <i val="0"/>
        <color theme="0"/>
      </font>
      <fill>
        <patternFill patternType="solid">
          <fgColor auto="1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horizontal style="thin">
          <color rgb="FF00B050"/>
        </horizontal>
      </border>
    </dxf>
  </dxfs>
  <tableStyles count="2" defaultTableStyle="TableStyleMedium2" defaultPivotStyle="PivotStyleLight16">
    <tableStyle name="TableStyleLight verde" pivot="0" count="9" xr9:uid="{42BCB8C8-27DF-423D-A267-D638AAC8634A}">
      <tableStyleElement type="wholeTable" dxfId="574"/>
      <tableStyleElement type="headerRow" dxfId="573"/>
      <tableStyleElement type="totalRow" dxfId="572"/>
      <tableStyleElement type="firstColumn" dxfId="571"/>
      <tableStyleElement type="lastColumn" dxfId="570"/>
      <tableStyleElement type="firstRowStripe" dxfId="569"/>
      <tableStyleElement type="secondRowStripe" dxfId="568"/>
      <tableStyleElement type="firstColumnStripe" dxfId="567"/>
      <tableStyleElement type="secondColumnStripe" dxfId="566"/>
    </tableStyle>
    <tableStyle name="TableStyleLight8 2" pivot="0" count="9" xr9:uid="{016BE02F-58AC-4CC2-9D26-FE9203BF09B9}">
      <tableStyleElement type="wholeTable" dxfId="565"/>
      <tableStyleElement type="headerRow" dxfId="564"/>
      <tableStyleElement type="totalRow" dxfId="563"/>
      <tableStyleElement type="firstColumn" dxfId="562"/>
      <tableStyleElement type="lastColumn" dxfId="561"/>
      <tableStyleElement type="firstRowStripe" dxfId="560"/>
      <tableStyleElement type="secondRowStripe" dxfId="559"/>
      <tableStyleElement type="firstColumnStripe" dxfId="558"/>
      <tableStyleElement type="secondColumnStripe" dxfId="557"/>
    </tableStyle>
  </tableStyles>
  <colors>
    <mruColors>
      <color rgb="FFF7FE9A"/>
      <color rgb="FFC9A6E4"/>
      <color rgb="FF25FF49"/>
      <color rgb="FF0FF12A"/>
      <color rgb="FF0D3A78"/>
      <color rgb="FFD9EAFD"/>
      <color rgb="FFE1CCF0"/>
      <color rgb="FFFF99FF"/>
      <color rgb="FFC495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</xdr:row>
          <xdr:rowOff>152400</xdr:rowOff>
        </xdr:from>
        <xdr:to>
          <xdr:col>4</xdr:col>
          <xdr:colOff>1019175</xdr:colOff>
          <xdr:row>3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Candara"/>
                </a:rPr>
                <a:t>Novo Controle de Horas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0</xdr:row>
      <xdr:rowOff>27214</xdr:rowOff>
    </xdr:from>
    <xdr:to>
      <xdr:col>2</xdr:col>
      <xdr:colOff>27214</xdr:colOff>
      <xdr:row>32</xdr:row>
      <xdr:rowOff>40822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697F70-BD05-58E5-D1F6-1657C2386BE4}"/>
            </a:ext>
          </a:extLst>
        </xdr:cNvPr>
        <xdr:cNvSpPr/>
      </xdr:nvSpPr>
      <xdr:spPr>
        <a:xfrm>
          <a:off x="898071" y="27214"/>
          <a:ext cx="1510393" cy="7007679"/>
        </a:xfrm>
        <a:custGeom>
          <a:avLst/>
          <a:gdLst>
            <a:gd name="connsiteX0" fmla="*/ 0 w 1510393"/>
            <a:gd name="connsiteY0" fmla="*/ 0 h 7007679"/>
            <a:gd name="connsiteX1" fmla="*/ 488360 w 1510393"/>
            <a:gd name="connsiteY1" fmla="*/ 0 h 7007679"/>
            <a:gd name="connsiteX2" fmla="*/ 946513 w 1510393"/>
            <a:gd name="connsiteY2" fmla="*/ 0 h 7007679"/>
            <a:gd name="connsiteX3" fmla="*/ 1510393 w 1510393"/>
            <a:gd name="connsiteY3" fmla="*/ 0 h 7007679"/>
            <a:gd name="connsiteX4" fmla="*/ 1510393 w 1510393"/>
            <a:gd name="connsiteY4" fmla="*/ 513896 h 7007679"/>
            <a:gd name="connsiteX5" fmla="*/ 1510393 w 1510393"/>
            <a:gd name="connsiteY5" fmla="*/ 957716 h 7007679"/>
            <a:gd name="connsiteX6" fmla="*/ 1510393 w 1510393"/>
            <a:gd name="connsiteY6" fmla="*/ 1401536 h 7007679"/>
            <a:gd name="connsiteX7" fmla="*/ 1510393 w 1510393"/>
            <a:gd name="connsiteY7" fmla="*/ 1985509 h 7007679"/>
            <a:gd name="connsiteX8" fmla="*/ 1510393 w 1510393"/>
            <a:gd name="connsiteY8" fmla="*/ 2569482 h 7007679"/>
            <a:gd name="connsiteX9" fmla="*/ 1510393 w 1510393"/>
            <a:gd name="connsiteY9" fmla="*/ 3013302 h 7007679"/>
            <a:gd name="connsiteX10" fmla="*/ 1510393 w 1510393"/>
            <a:gd name="connsiteY10" fmla="*/ 3457122 h 7007679"/>
            <a:gd name="connsiteX11" fmla="*/ 1510393 w 1510393"/>
            <a:gd name="connsiteY11" fmla="*/ 4041095 h 7007679"/>
            <a:gd name="connsiteX12" fmla="*/ 1510393 w 1510393"/>
            <a:gd name="connsiteY12" fmla="*/ 4695145 h 7007679"/>
            <a:gd name="connsiteX13" fmla="*/ 1510393 w 1510393"/>
            <a:gd name="connsiteY13" fmla="*/ 5068888 h 7007679"/>
            <a:gd name="connsiteX14" fmla="*/ 1510393 w 1510393"/>
            <a:gd name="connsiteY14" fmla="*/ 5652861 h 7007679"/>
            <a:gd name="connsiteX15" fmla="*/ 1510393 w 1510393"/>
            <a:gd name="connsiteY15" fmla="*/ 6236834 h 7007679"/>
            <a:gd name="connsiteX16" fmla="*/ 1510393 w 1510393"/>
            <a:gd name="connsiteY16" fmla="*/ 7007679 h 7007679"/>
            <a:gd name="connsiteX17" fmla="*/ 991825 w 1510393"/>
            <a:gd name="connsiteY17" fmla="*/ 7007679 h 7007679"/>
            <a:gd name="connsiteX18" fmla="*/ 488360 w 1510393"/>
            <a:gd name="connsiteY18" fmla="*/ 7007679 h 7007679"/>
            <a:gd name="connsiteX19" fmla="*/ 0 w 1510393"/>
            <a:gd name="connsiteY19" fmla="*/ 7007679 h 7007679"/>
            <a:gd name="connsiteX20" fmla="*/ 0 w 1510393"/>
            <a:gd name="connsiteY20" fmla="*/ 6563859 h 7007679"/>
            <a:gd name="connsiteX21" fmla="*/ 0 w 1510393"/>
            <a:gd name="connsiteY21" fmla="*/ 6049963 h 7007679"/>
            <a:gd name="connsiteX22" fmla="*/ 0 w 1510393"/>
            <a:gd name="connsiteY22" fmla="*/ 5325836 h 7007679"/>
            <a:gd name="connsiteX23" fmla="*/ 0 w 1510393"/>
            <a:gd name="connsiteY23" fmla="*/ 4741863 h 7007679"/>
            <a:gd name="connsiteX24" fmla="*/ 0 w 1510393"/>
            <a:gd name="connsiteY24" fmla="*/ 4227966 h 7007679"/>
            <a:gd name="connsiteX25" fmla="*/ 0 w 1510393"/>
            <a:gd name="connsiteY25" fmla="*/ 3854223 h 7007679"/>
            <a:gd name="connsiteX26" fmla="*/ 0 w 1510393"/>
            <a:gd name="connsiteY26" fmla="*/ 3480481 h 7007679"/>
            <a:gd name="connsiteX27" fmla="*/ 0 w 1510393"/>
            <a:gd name="connsiteY27" fmla="*/ 2826431 h 7007679"/>
            <a:gd name="connsiteX28" fmla="*/ 0 w 1510393"/>
            <a:gd name="connsiteY28" fmla="*/ 2382611 h 7007679"/>
            <a:gd name="connsiteX29" fmla="*/ 0 w 1510393"/>
            <a:gd name="connsiteY29" fmla="*/ 1658484 h 7007679"/>
            <a:gd name="connsiteX30" fmla="*/ 0 w 1510393"/>
            <a:gd name="connsiteY30" fmla="*/ 1144588 h 7007679"/>
            <a:gd name="connsiteX31" fmla="*/ 0 w 1510393"/>
            <a:gd name="connsiteY31" fmla="*/ 770845 h 7007679"/>
            <a:gd name="connsiteX32" fmla="*/ 0 w 1510393"/>
            <a:gd name="connsiteY32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10393" h="7007679" extrusionOk="0">
              <a:moveTo>
                <a:pt x="0" y="0"/>
              </a:moveTo>
              <a:cubicBezTo>
                <a:pt x="175673" y="-41168"/>
                <a:pt x="251778" y="17685"/>
                <a:pt x="488360" y="0"/>
              </a:cubicBezTo>
              <a:cubicBezTo>
                <a:pt x="724942" y="-17685"/>
                <a:pt x="717572" y="18896"/>
                <a:pt x="946513" y="0"/>
              </a:cubicBezTo>
              <a:cubicBezTo>
                <a:pt x="1175454" y="-18896"/>
                <a:pt x="1338933" y="41938"/>
                <a:pt x="1510393" y="0"/>
              </a:cubicBezTo>
              <a:cubicBezTo>
                <a:pt x="1550728" y="156603"/>
                <a:pt x="1470339" y="378298"/>
                <a:pt x="1510393" y="513896"/>
              </a:cubicBezTo>
              <a:cubicBezTo>
                <a:pt x="1550447" y="649494"/>
                <a:pt x="1478741" y="757581"/>
                <a:pt x="1510393" y="957716"/>
              </a:cubicBezTo>
              <a:cubicBezTo>
                <a:pt x="1542045" y="1157851"/>
                <a:pt x="1498688" y="1234328"/>
                <a:pt x="1510393" y="1401536"/>
              </a:cubicBezTo>
              <a:cubicBezTo>
                <a:pt x="1522098" y="1568744"/>
                <a:pt x="1459459" y="1763908"/>
                <a:pt x="1510393" y="1985509"/>
              </a:cubicBezTo>
              <a:cubicBezTo>
                <a:pt x="1561327" y="2207110"/>
                <a:pt x="1445787" y="2320379"/>
                <a:pt x="1510393" y="2569482"/>
              </a:cubicBezTo>
              <a:cubicBezTo>
                <a:pt x="1574999" y="2818585"/>
                <a:pt x="1501947" y="2807431"/>
                <a:pt x="1510393" y="3013302"/>
              </a:cubicBezTo>
              <a:cubicBezTo>
                <a:pt x="1518839" y="3219173"/>
                <a:pt x="1475672" y="3308088"/>
                <a:pt x="1510393" y="3457122"/>
              </a:cubicBezTo>
              <a:cubicBezTo>
                <a:pt x="1545114" y="3606156"/>
                <a:pt x="1462525" y="3858866"/>
                <a:pt x="1510393" y="4041095"/>
              </a:cubicBezTo>
              <a:cubicBezTo>
                <a:pt x="1558261" y="4223324"/>
                <a:pt x="1487921" y="4459266"/>
                <a:pt x="1510393" y="4695145"/>
              </a:cubicBezTo>
              <a:cubicBezTo>
                <a:pt x="1532865" y="4931024"/>
                <a:pt x="1486034" y="4921415"/>
                <a:pt x="1510393" y="5068888"/>
              </a:cubicBezTo>
              <a:cubicBezTo>
                <a:pt x="1534752" y="5216361"/>
                <a:pt x="1459331" y="5517212"/>
                <a:pt x="1510393" y="5652861"/>
              </a:cubicBezTo>
              <a:cubicBezTo>
                <a:pt x="1561455" y="5788510"/>
                <a:pt x="1467115" y="6015662"/>
                <a:pt x="1510393" y="6236834"/>
              </a:cubicBezTo>
              <a:cubicBezTo>
                <a:pt x="1553671" y="6458006"/>
                <a:pt x="1505722" y="6838052"/>
                <a:pt x="1510393" y="7007679"/>
              </a:cubicBezTo>
              <a:cubicBezTo>
                <a:pt x="1393018" y="7008955"/>
                <a:pt x="1159627" y="6974342"/>
                <a:pt x="991825" y="7007679"/>
              </a:cubicBezTo>
              <a:cubicBezTo>
                <a:pt x="824023" y="7041016"/>
                <a:pt x="646735" y="7005615"/>
                <a:pt x="488360" y="7007679"/>
              </a:cubicBezTo>
              <a:cubicBezTo>
                <a:pt x="329985" y="7009743"/>
                <a:pt x="186233" y="6963135"/>
                <a:pt x="0" y="7007679"/>
              </a:cubicBezTo>
              <a:cubicBezTo>
                <a:pt x="-3173" y="6870761"/>
                <a:pt x="29235" y="6753929"/>
                <a:pt x="0" y="6563859"/>
              </a:cubicBezTo>
              <a:cubicBezTo>
                <a:pt x="-29235" y="6373789"/>
                <a:pt x="8946" y="6262632"/>
                <a:pt x="0" y="6049963"/>
              </a:cubicBezTo>
              <a:cubicBezTo>
                <a:pt x="-8946" y="5837294"/>
                <a:pt x="52164" y="5644776"/>
                <a:pt x="0" y="5325836"/>
              </a:cubicBezTo>
              <a:cubicBezTo>
                <a:pt x="-52164" y="5006896"/>
                <a:pt x="28012" y="4996272"/>
                <a:pt x="0" y="4741863"/>
              </a:cubicBezTo>
              <a:cubicBezTo>
                <a:pt x="-28012" y="4487454"/>
                <a:pt x="45845" y="4371501"/>
                <a:pt x="0" y="4227966"/>
              </a:cubicBezTo>
              <a:cubicBezTo>
                <a:pt x="-45845" y="4084431"/>
                <a:pt x="6374" y="3960009"/>
                <a:pt x="0" y="3854223"/>
              </a:cubicBezTo>
              <a:cubicBezTo>
                <a:pt x="-6374" y="3748437"/>
                <a:pt x="1426" y="3582411"/>
                <a:pt x="0" y="3480481"/>
              </a:cubicBezTo>
              <a:cubicBezTo>
                <a:pt x="-1426" y="3378551"/>
                <a:pt x="7564" y="3129183"/>
                <a:pt x="0" y="2826431"/>
              </a:cubicBezTo>
              <a:cubicBezTo>
                <a:pt x="-7564" y="2523679"/>
                <a:pt x="10318" y="2576064"/>
                <a:pt x="0" y="2382611"/>
              </a:cubicBezTo>
              <a:cubicBezTo>
                <a:pt x="-10318" y="2189158"/>
                <a:pt x="59320" y="2000961"/>
                <a:pt x="0" y="1658484"/>
              </a:cubicBezTo>
              <a:cubicBezTo>
                <a:pt x="-59320" y="1316007"/>
                <a:pt x="3030" y="1252477"/>
                <a:pt x="0" y="1144588"/>
              </a:cubicBezTo>
              <a:cubicBezTo>
                <a:pt x="-3030" y="1036699"/>
                <a:pt x="2185" y="911826"/>
                <a:pt x="0" y="770845"/>
              </a:cubicBezTo>
              <a:cubicBezTo>
                <a:pt x="-2185" y="629864"/>
                <a:pt x="61930" y="32620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11</xdr:col>
      <xdr:colOff>0</xdr:colOff>
      <xdr:row>32</xdr:row>
      <xdr:rowOff>13608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975C6B-57DC-680A-D2A7-99A8DA0750E5}"/>
            </a:ext>
          </a:extLst>
        </xdr:cNvPr>
        <xdr:cNvSpPr/>
      </xdr:nvSpPr>
      <xdr:spPr>
        <a:xfrm>
          <a:off x="6517821" y="0"/>
          <a:ext cx="3374572" cy="7007679"/>
        </a:xfrm>
        <a:custGeom>
          <a:avLst/>
          <a:gdLst>
            <a:gd name="connsiteX0" fmla="*/ 0 w 3374572"/>
            <a:gd name="connsiteY0" fmla="*/ 0 h 7007679"/>
            <a:gd name="connsiteX1" fmla="*/ 528683 w 3374572"/>
            <a:gd name="connsiteY1" fmla="*/ 0 h 7007679"/>
            <a:gd name="connsiteX2" fmla="*/ 989874 w 3374572"/>
            <a:gd name="connsiteY2" fmla="*/ 0 h 7007679"/>
            <a:gd name="connsiteX3" fmla="*/ 1619795 w 3374572"/>
            <a:gd name="connsiteY3" fmla="*/ 0 h 7007679"/>
            <a:gd name="connsiteX4" fmla="*/ 2148478 w 3374572"/>
            <a:gd name="connsiteY4" fmla="*/ 0 h 7007679"/>
            <a:gd name="connsiteX5" fmla="*/ 2677160 w 3374572"/>
            <a:gd name="connsiteY5" fmla="*/ 0 h 7007679"/>
            <a:gd name="connsiteX6" fmla="*/ 3374572 w 3374572"/>
            <a:gd name="connsiteY6" fmla="*/ 0 h 7007679"/>
            <a:gd name="connsiteX7" fmla="*/ 3374572 w 3374572"/>
            <a:gd name="connsiteY7" fmla="*/ 443820 h 7007679"/>
            <a:gd name="connsiteX8" fmla="*/ 3374572 w 3374572"/>
            <a:gd name="connsiteY8" fmla="*/ 1027793 h 7007679"/>
            <a:gd name="connsiteX9" fmla="*/ 3374572 w 3374572"/>
            <a:gd name="connsiteY9" fmla="*/ 1471613 h 7007679"/>
            <a:gd name="connsiteX10" fmla="*/ 3374572 w 3374572"/>
            <a:gd name="connsiteY10" fmla="*/ 1915432 h 7007679"/>
            <a:gd name="connsiteX11" fmla="*/ 3374572 w 3374572"/>
            <a:gd name="connsiteY11" fmla="*/ 2499406 h 7007679"/>
            <a:gd name="connsiteX12" fmla="*/ 3374572 w 3374572"/>
            <a:gd name="connsiteY12" fmla="*/ 3153456 h 7007679"/>
            <a:gd name="connsiteX13" fmla="*/ 3374572 w 3374572"/>
            <a:gd name="connsiteY13" fmla="*/ 3527198 h 7007679"/>
            <a:gd name="connsiteX14" fmla="*/ 3374572 w 3374572"/>
            <a:gd name="connsiteY14" fmla="*/ 4111172 h 7007679"/>
            <a:gd name="connsiteX15" fmla="*/ 3374572 w 3374572"/>
            <a:gd name="connsiteY15" fmla="*/ 4695145 h 7007679"/>
            <a:gd name="connsiteX16" fmla="*/ 3374572 w 3374572"/>
            <a:gd name="connsiteY16" fmla="*/ 5279118 h 7007679"/>
            <a:gd name="connsiteX17" fmla="*/ 3374572 w 3374572"/>
            <a:gd name="connsiteY17" fmla="*/ 5933168 h 7007679"/>
            <a:gd name="connsiteX18" fmla="*/ 3374572 w 3374572"/>
            <a:gd name="connsiteY18" fmla="*/ 7007679 h 7007679"/>
            <a:gd name="connsiteX19" fmla="*/ 2778398 w 3374572"/>
            <a:gd name="connsiteY19" fmla="*/ 7007679 h 7007679"/>
            <a:gd name="connsiteX20" fmla="*/ 2283460 w 3374572"/>
            <a:gd name="connsiteY20" fmla="*/ 7007679 h 7007679"/>
            <a:gd name="connsiteX21" fmla="*/ 1653540 w 3374572"/>
            <a:gd name="connsiteY21" fmla="*/ 7007679 h 7007679"/>
            <a:gd name="connsiteX22" fmla="*/ 1091112 w 3374572"/>
            <a:gd name="connsiteY22" fmla="*/ 7007679 h 7007679"/>
            <a:gd name="connsiteX23" fmla="*/ 596174 w 3374572"/>
            <a:gd name="connsiteY23" fmla="*/ 7007679 h 7007679"/>
            <a:gd name="connsiteX24" fmla="*/ 0 w 3374572"/>
            <a:gd name="connsiteY24" fmla="*/ 7007679 h 7007679"/>
            <a:gd name="connsiteX25" fmla="*/ 0 w 3374572"/>
            <a:gd name="connsiteY25" fmla="*/ 6633936 h 7007679"/>
            <a:gd name="connsiteX26" fmla="*/ 0 w 3374572"/>
            <a:gd name="connsiteY26" fmla="*/ 6260193 h 7007679"/>
            <a:gd name="connsiteX27" fmla="*/ 0 w 3374572"/>
            <a:gd name="connsiteY27" fmla="*/ 5606143 h 7007679"/>
            <a:gd name="connsiteX28" fmla="*/ 0 w 3374572"/>
            <a:gd name="connsiteY28" fmla="*/ 5162324 h 7007679"/>
            <a:gd name="connsiteX29" fmla="*/ 0 w 3374572"/>
            <a:gd name="connsiteY29" fmla="*/ 4438197 h 7007679"/>
            <a:gd name="connsiteX30" fmla="*/ 0 w 3374572"/>
            <a:gd name="connsiteY30" fmla="*/ 3924300 h 7007679"/>
            <a:gd name="connsiteX31" fmla="*/ 0 w 3374572"/>
            <a:gd name="connsiteY31" fmla="*/ 3550557 h 7007679"/>
            <a:gd name="connsiteX32" fmla="*/ 0 w 3374572"/>
            <a:gd name="connsiteY32" fmla="*/ 2896507 h 7007679"/>
            <a:gd name="connsiteX33" fmla="*/ 0 w 3374572"/>
            <a:gd name="connsiteY33" fmla="*/ 2452688 h 7007679"/>
            <a:gd name="connsiteX34" fmla="*/ 0 w 3374572"/>
            <a:gd name="connsiteY34" fmla="*/ 1798638 h 7007679"/>
            <a:gd name="connsiteX35" fmla="*/ 0 w 3374572"/>
            <a:gd name="connsiteY35" fmla="*/ 1074511 h 7007679"/>
            <a:gd name="connsiteX36" fmla="*/ 0 w 3374572"/>
            <a:gd name="connsiteY36" fmla="*/ 560614 h 7007679"/>
            <a:gd name="connsiteX37" fmla="*/ 0 w 3374572"/>
            <a:gd name="connsiteY37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3374572" h="7007679" extrusionOk="0">
              <a:moveTo>
                <a:pt x="0" y="0"/>
              </a:moveTo>
              <a:cubicBezTo>
                <a:pt x="260372" y="-26343"/>
                <a:pt x="354356" y="27276"/>
                <a:pt x="528683" y="0"/>
              </a:cubicBezTo>
              <a:cubicBezTo>
                <a:pt x="703010" y="-27276"/>
                <a:pt x="841909" y="8320"/>
                <a:pt x="989874" y="0"/>
              </a:cubicBezTo>
              <a:cubicBezTo>
                <a:pt x="1137839" y="-8320"/>
                <a:pt x="1493082" y="38987"/>
                <a:pt x="1619795" y="0"/>
              </a:cubicBezTo>
              <a:cubicBezTo>
                <a:pt x="1746508" y="-38987"/>
                <a:pt x="2025137" y="31564"/>
                <a:pt x="2148478" y="0"/>
              </a:cubicBezTo>
              <a:cubicBezTo>
                <a:pt x="2271819" y="-31564"/>
                <a:pt x="2528881" y="61011"/>
                <a:pt x="2677160" y="0"/>
              </a:cubicBezTo>
              <a:cubicBezTo>
                <a:pt x="2825439" y="-61011"/>
                <a:pt x="3095884" y="14890"/>
                <a:pt x="3374572" y="0"/>
              </a:cubicBezTo>
              <a:cubicBezTo>
                <a:pt x="3378109" y="221680"/>
                <a:pt x="3357793" y="311541"/>
                <a:pt x="3374572" y="443820"/>
              </a:cubicBezTo>
              <a:cubicBezTo>
                <a:pt x="3391351" y="576099"/>
                <a:pt x="3309966" y="778690"/>
                <a:pt x="3374572" y="1027793"/>
              </a:cubicBezTo>
              <a:cubicBezTo>
                <a:pt x="3439178" y="1276896"/>
                <a:pt x="3366126" y="1265742"/>
                <a:pt x="3374572" y="1471613"/>
              </a:cubicBezTo>
              <a:cubicBezTo>
                <a:pt x="3383018" y="1677484"/>
                <a:pt x="3334064" y="1768610"/>
                <a:pt x="3374572" y="1915432"/>
              </a:cubicBezTo>
              <a:cubicBezTo>
                <a:pt x="3415080" y="2062254"/>
                <a:pt x="3328933" y="2312109"/>
                <a:pt x="3374572" y="2499406"/>
              </a:cubicBezTo>
              <a:cubicBezTo>
                <a:pt x="3420211" y="2686703"/>
                <a:pt x="3352100" y="2917577"/>
                <a:pt x="3374572" y="3153456"/>
              </a:cubicBezTo>
              <a:cubicBezTo>
                <a:pt x="3397044" y="3389335"/>
                <a:pt x="3345767" y="3387022"/>
                <a:pt x="3374572" y="3527198"/>
              </a:cubicBezTo>
              <a:cubicBezTo>
                <a:pt x="3403377" y="3667374"/>
                <a:pt x="3327761" y="3973436"/>
                <a:pt x="3374572" y="4111172"/>
              </a:cubicBezTo>
              <a:cubicBezTo>
                <a:pt x="3421383" y="4248908"/>
                <a:pt x="3331294" y="4473973"/>
                <a:pt x="3374572" y="4695145"/>
              </a:cubicBezTo>
              <a:cubicBezTo>
                <a:pt x="3417850" y="4916317"/>
                <a:pt x="3339572" y="5020505"/>
                <a:pt x="3374572" y="5279118"/>
              </a:cubicBezTo>
              <a:cubicBezTo>
                <a:pt x="3409572" y="5537731"/>
                <a:pt x="3369389" y="5773346"/>
                <a:pt x="3374572" y="5933168"/>
              </a:cubicBezTo>
              <a:cubicBezTo>
                <a:pt x="3379755" y="6092990"/>
                <a:pt x="3261022" y="6477300"/>
                <a:pt x="3374572" y="7007679"/>
              </a:cubicBezTo>
              <a:cubicBezTo>
                <a:pt x="3080847" y="7009307"/>
                <a:pt x="2973777" y="6960069"/>
                <a:pt x="2778398" y="7007679"/>
              </a:cubicBezTo>
              <a:cubicBezTo>
                <a:pt x="2583019" y="7055289"/>
                <a:pt x="2410663" y="6989077"/>
                <a:pt x="2283460" y="7007679"/>
              </a:cubicBezTo>
              <a:cubicBezTo>
                <a:pt x="2156257" y="7026281"/>
                <a:pt x="1873556" y="7004431"/>
                <a:pt x="1653540" y="7007679"/>
              </a:cubicBezTo>
              <a:cubicBezTo>
                <a:pt x="1433524" y="7010927"/>
                <a:pt x="1339696" y="6961345"/>
                <a:pt x="1091112" y="7007679"/>
              </a:cubicBezTo>
              <a:cubicBezTo>
                <a:pt x="842528" y="7054013"/>
                <a:pt x="698651" y="6999803"/>
                <a:pt x="596174" y="7007679"/>
              </a:cubicBezTo>
              <a:cubicBezTo>
                <a:pt x="493697" y="7015555"/>
                <a:pt x="128247" y="6950359"/>
                <a:pt x="0" y="7007679"/>
              </a:cubicBezTo>
              <a:cubicBezTo>
                <a:pt x="-15679" y="6902978"/>
                <a:pt x="6374" y="6739722"/>
                <a:pt x="0" y="6633936"/>
              </a:cubicBezTo>
              <a:cubicBezTo>
                <a:pt x="-6374" y="6528150"/>
                <a:pt x="43470" y="6371542"/>
                <a:pt x="0" y="6260193"/>
              </a:cubicBezTo>
              <a:cubicBezTo>
                <a:pt x="-43470" y="6148844"/>
                <a:pt x="7564" y="5908895"/>
                <a:pt x="0" y="5606143"/>
              </a:cubicBezTo>
              <a:cubicBezTo>
                <a:pt x="-7564" y="5303391"/>
                <a:pt x="11427" y="5353613"/>
                <a:pt x="0" y="5162324"/>
              </a:cubicBezTo>
              <a:cubicBezTo>
                <a:pt x="-11427" y="4971035"/>
                <a:pt x="59320" y="4780674"/>
                <a:pt x="0" y="4438197"/>
              </a:cubicBezTo>
              <a:cubicBezTo>
                <a:pt x="-59320" y="4095720"/>
                <a:pt x="2380" y="4035740"/>
                <a:pt x="0" y="3924300"/>
              </a:cubicBezTo>
              <a:cubicBezTo>
                <a:pt x="-2380" y="3812860"/>
                <a:pt x="2185" y="3691538"/>
                <a:pt x="0" y="3550557"/>
              </a:cubicBezTo>
              <a:cubicBezTo>
                <a:pt x="-2185" y="3409576"/>
                <a:pt x="56662" y="3192512"/>
                <a:pt x="0" y="2896507"/>
              </a:cubicBezTo>
              <a:cubicBezTo>
                <a:pt x="-56662" y="2600502"/>
                <a:pt x="36719" y="2647681"/>
                <a:pt x="0" y="2452688"/>
              </a:cubicBezTo>
              <a:cubicBezTo>
                <a:pt x="-36719" y="2257695"/>
                <a:pt x="56559" y="1954695"/>
                <a:pt x="0" y="1798638"/>
              </a:cubicBezTo>
              <a:cubicBezTo>
                <a:pt x="-56559" y="1642581"/>
                <a:pt x="40670" y="1236943"/>
                <a:pt x="0" y="1074511"/>
              </a:cubicBezTo>
              <a:cubicBezTo>
                <a:pt x="-40670" y="912079"/>
                <a:pt x="47597" y="804448"/>
                <a:pt x="0" y="560614"/>
              </a:cubicBezTo>
              <a:cubicBezTo>
                <a:pt x="-47597" y="316780"/>
                <a:pt x="59083" y="27907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24</xdr:col>
      <xdr:colOff>1</xdr:colOff>
      <xdr:row>0</xdr:row>
      <xdr:rowOff>54428</xdr:rowOff>
    </xdr:from>
    <xdr:to>
      <xdr:col>24</xdr:col>
      <xdr:colOff>326573</xdr:colOff>
      <xdr:row>32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B2F7514-317D-752A-3FED-04F8D588973A}"/>
            </a:ext>
          </a:extLst>
        </xdr:cNvPr>
        <xdr:cNvSpPr/>
      </xdr:nvSpPr>
      <xdr:spPr>
        <a:xfrm>
          <a:off x="20873358" y="54428"/>
          <a:ext cx="326572" cy="6939643"/>
        </a:xfrm>
        <a:custGeom>
          <a:avLst/>
          <a:gdLst>
            <a:gd name="connsiteX0" fmla="*/ 0 w 326572"/>
            <a:gd name="connsiteY0" fmla="*/ 0 h 6939643"/>
            <a:gd name="connsiteX1" fmla="*/ 326572 w 326572"/>
            <a:gd name="connsiteY1" fmla="*/ 0 h 6939643"/>
            <a:gd name="connsiteX2" fmla="*/ 326572 w 326572"/>
            <a:gd name="connsiteY2" fmla="*/ 370114 h 6939643"/>
            <a:gd name="connsiteX3" fmla="*/ 326572 w 326572"/>
            <a:gd name="connsiteY3" fmla="*/ 1087211 h 6939643"/>
            <a:gd name="connsiteX4" fmla="*/ 326572 w 326572"/>
            <a:gd name="connsiteY4" fmla="*/ 1665514 h 6939643"/>
            <a:gd name="connsiteX5" fmla="*/ 326572 w 326572"/>
            <a:gd name="connsiteY5" fmla="*/ 2105025 h 6939643"/>
            <a:gd name="connsiteX6" fmla="*/ 326572 w 326572"/>
            <a:gd name="connsiteY6" fmla="*/ 2544536 h 6939643"/>
            <a:gd name="connsiteX7" fmla="*/ 326572 w 326572"/>
            <a:gd name="connsiteY7" fmla="*/ 3122839 h 6939643"/>
            <a:gd name="connsiteX8" fmla="*/ 326572 w 326572"/>
            <a:gd name="connsiteY8" fmla="*/ 3701143 h 6939643"/>
            <a:gd name="connsiteX9" fmla="*/ 326572 w 326572"/>
            <a:gd name="connsiteY9" fmla="*/ 4140654 h 6939643"/>
            <a:gd name="connsiteX10" fmla="*/ 326572 w 326572"/>
            <a:gd name="connsiteY10" fmla="*/ 4580164 h 6939643"/>
            <a:gd name="connsiteX11" fmla="*/ 326572 w 326572"/>
            <a:gd name="connsiteY11" fmla="*/ 5158468 h 6939643"/>
            <a:gd name="connsiteX12" fmla="*/ 326572 w 326572"/>
            <a:gd name="connsiteY12" fmla="*/ 5806168 h 6939643"/>
            <a:gd name="connsiteX13" fmla="*/ 326572 w 326572"/>
            <a:gd name="connsiteY13" fmla="*/ 6176282 h 6939643"/>
            <a:gd name="connsiteX14" fmla="*/ 326572 w 326572"/>
            <a:gd name="connsiteY14" fmla="*/ 6939643 h 6939643"/>
            <a:gd name="connsiteX15" fmla="*/ 0 w 326572"/>
            <a:gd name="connsiteY15" fmla="*/ 6939643 h 6939643"/>
            <a:gd name="connsiteX16" fmla="*/ 0 w 326572"/>
            <a:gd name="connsiteY16" fmla="*/ 6361339 h 6939643"/>
            <a:gd name="connsiteX17" fmla="*/ 0 w 326572"/>
            <a:gd name="connsiteY17" fmla="*/ 5852432 h 6939643"/>
            <a:gd name="connsiteX18" fmla="*/ 0 w 326572"/>
            <a:gd name="connsiteY18" fmla="*/ 5482318 h 6939643"/>
            <a:gd name="connsiteX19" fmla="*/ 0 w 326572"/>
            <a:gd name="connsiteY19" fmla="*/ 5042807 h 6939643"/>
            <a:gd name="connsiteX20" fmla="*/ 0 w 326572"/>
            <a:gd name="connsiteY20" fmla="*/ 4603297 h 6939643"/>
            <a:gd name="connsiteX21" fmla="*/ 0 w 326572"/>
            <a:gd name="connsiteY21" fmla="*/ 4094389 h 6939643"/>
            <a:gd name="connsiteX22" fmla="*/ 0 w 326572"/>
            <a:gd name="connsiteY22" fmla="*/ 3377293 h 6939643"/>
            <a:gd name="connsiteX23" fmla="*/ 0 w 326572"/>
            <a:gd name="connsiteY23" fmla="*/ 2798989 h 6939643"/>
            <a:gd name="connsiteX24" fmla="*/ 0 w 326572"/>
            <a:gd name="connsiteY24" fmla="*/ 2290082 h 6939643"/>
            <a:gd name="connsiteX25" fmla="*/ 0 w 326572"/>
            <a:gd name="connsiteY25" fmla="*/ 1919968 h 6939643"/>
            <a:gd name="connsiteX26" fmla="*/ 0 w 326572"/>
            <a:gd name="connsiteY26" fmla="*/ 1549854 h 6939643"/>
            <a:gd name="connsiteX27" fmla="*/ 0 w 326572"/>
            <a:gd name="connsiteY27" fmla="*/ 902154 h 6939643"/>
            <a:gd name="connsiteX28" fmla="*/ 0 w 326572"/>
            <a:gd name="connsiteY28" fmla="*/ 0 h 6939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6572" h="6939643" extrusionOk="0">
              <a:moveTo>
                <a:pt x="0" y="0"/>
              </a:moveTo>
              <a:cubicBezTo>
                <a:pt x="132898" y="-31709"/>
                <a:pt x="197891" y="8178"/>
                <a:pt x="326572" y="0"/>
              </a:cubicBezTo>
              <a:cubicBezTo>
                <a:pt x="337433" y="125855"/>
                <a:pt x="284240" y="264824"/>
                <a:pt x="326572" y="370114"/>
              </a:cubicBezTo>
              <a:cubicBezTo>
                <a:pt x="368904" y="475404"/>
                <a:pt x="243081" y="926618"/>
                <a:pt x="326572" y="1087211"/>
              </a:cubicBezTo>
              <a:cubicBezTo>
                <a:pt x="410063" y="1247804"/>
                <a:pt x="324678" y="1379412"/>
                <a:pt x="326572" y="1665514"/>
              </a:cubicBezTo>
              <a:cubicBezTo>
                <a:pt x="328466" y="1951616"/>
                <a:pt x="322847" y="2005378"/>
                <a:pt x="326572" y="2105025"/>
              </a:cubicBezTo>
              <a:cubicBezTo>
                <a:pt x="330297" y="2204672"/>
                <a:pt x="285665" y="2380985"/>
                <a:pt x="326572" y="2544536"/>
              </a:cubicBezTo>
              <a:cubicBezTo>
                <a:pt x="367479" y="2708087"/>
                <a:pt x="306534" y="2956769"/>
                <a:pt x="326572" y="3122839"/>
              </a:cubicBezTo>
              <a:cubicBezTo>
                <a:pt x="346610" y="3288909"/>
                <a:pt x="260702" y="3557452"/>
                <a:pt x="326572" y="3701143"/>
              </a:cubicBezTo>
              <a:cubicBezTo>
                <a:pt x="392442" y="3844834"/>
                <a:pt x="294988" y="4032689"/>
                <a:pt x="326572" y="4140654"/>
              </a:cubicBezTo>
              <a:cubicBezTo>
                <a:pt x="358156" y="4248619"/>
                <a:pt x="296985" y="4473086"/>
                <a:pt x="326572" y="4580164"/>
              </a:cubicBezTo>
              <a:cubicBezTo>
                <a:pt x="356159" y="4687242"/>
                <a:pt x="274023" y="4904191"/>
                <a:pt x="326572" y="5158468"/>
              </a:cubicBezTo>
              <a:cubicBezTo>
                <a:pt x="379121" y="5412745"/>
                <a:pt x="262190" y="5537188"/>
                <a:pt x="326572" y="5806168"/>
              </a:cubicBezTo>
              <a:cubicBezTo>
                <a:pt x="390954" y="6075148"/>
                <a:pt x="289845" y="6084696"/>
                <a:pt x="326572" y="6176282"/>
              </a:cubicBezTo>
              <a:cubicBezTo>
                <a:pt x="363299" y="6267868"/>
                <a:pt x="299312" y="6676251"/>
                <a:pt x="326572" y="6939643"/>
              </a:cubicBezTo>
              <a:cubicBezTo>
                <a:pt x="181011" y="6948405"/>
                <a:pt x="102308" y="6918577"/>
                <a:pt x="0" y="6939643"/>
              </a:cubicBezTo>
              <a:cubicBezTo>
                <a:pt x="-30826" y="6749753"/>
                <a:pt x="39318" y="6521922"/>
                <a:pt x="0" y="6361339"/>
              </a:cubicBezTo>
              <a:cubicBezTo>
                <a:pt x="-39318" y="6200756"/>
                <a:pt x="22677" y="5982545"/>
                <a:pt x="0" y="5852432"/>
              </a:cubicBezTo>
              <a:cubicBezTo>
                <a:pt x="-22677" y="5722319"/>
                <a:pt x="33015" y="5648509"/>
                <a:pt x="0" y="5482318"/>
              </a:cubicBezTo>
              <a:cubicBezTo>
                <a:pt x="-33015" y="5316127"/>
                <a:pt x="27545" y="5157182"/>
                <a:pt x="0" y="5042807"/>
              </a:cubicBezTo>
              <a:cubicBezTo>
                <a:pt x="-27545" y="4928432"/>
                <a:pt x="51932" y="4727055"/>
                <a:pt x="0" y="4603297"/>
              </a:cubicBezTo>
              <a:cubicBezTo>
                <a:pt x="-51932" y="4479539"/>
                <a:pt x="35893" y="4240057"/>
                <a:pt x="0" y="4094389"/>
              </a:cubicBezTo>
              <a:cubicBezTo>
                <a:pt x="-35893" y="3948721"/>
                <a:pt x="12377" y="3606029"/>
                <a:pt x="0" y="3377293"/>
              </a:cubicBezTo>
              <a:cubicBezTo>
                <a:pt x="-12377" y="3148557"/>
                <a:pt x="57761" y="3029348"/>
                <a:pt x="0" y="2798989"/>
              </a:cubicBezTo>
              <a:cubicBezTo>
                <a:pt x="-57761" y="2568630"/>
                <a:pt x="10584" y="2457446"/>
                <a:pt x="0" y="2290082"/>
              </a:cubicBezTo>
              <a:cubicBezTo>
                <a:pt x="-10584" y="2122718"/>
                <a:pt x="22353" y="2104327"/>
                <a:pt x="0" y="1919968"/>
              </a:cubicBezTo>
              <a:cubicBezTo>
                <a:pt x="-22353" y="1735609"/>
                <a:pt x="6798" y="1679582"/>
                <a:pt x="0" y="1549854"/>
              </a:cubicBezTo>
              <a:cubicBezTo>
                <a:pt x="-6798" y="1420126"/>
                <a:pt x="50236" y="1205694"/>
                <a:pt x="0" y="902154"/>
              </a:cubicBezTo>
              <a:cubicBezTo>
                <a:pt x="-50236" y="598614"/>
                <a:pt x="77917" y="285221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27214</xdr:colOff>
      <xdr:row>1</xdr:row>
      <xdr:rowOff>54429</xdr:rowOff>
    </xdr:from>
    <xdr:to>
      <xdr:col>24</xdr:col>
      <xdr:colOff>1</xdr:colOff>
      <xdr:row>32</xdr:row>
      <xdr:rowOff>13608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45723877-C912-BAF3-54B0-E82EFF0481FD}"/>
            </a:ext>
          </a:extLst>
        </xdr:cNvPr>
        <xdr:cNvSpPr/>
      </xdr:nvSpPr>
      <xdr:spPr>
        <a:xfrm>
          <a:off x="1752600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27214</xdr:colOff>
      <xdr:row>1</xdr:row>
      <xdr:rowOff>54429</xdr:rowOff>
    </xdr:from>
    <xdr:to>
      <xdr:col>19</xdr:col>
      <xdr:colOff>0</xdr:colOff>
      <xdr:row>32</xdr:row>
      <xdr:rowOff>13608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94366F04-A4F9-BC3A-15FF-56F2DE01A5DE}"/>
            </a:ext>
          </a:extLst>
        </xdr:cNvPr>
        <xdr:cNvSpPr/>
      </xdr:nvSpPr>
      <xdr:spPr>
        <a:xfrm>
          <a:off x="14151428" y="721179"/>
          <a:ext cx="2503715" cy="6286500"/>
        </a:xfrm>
        <a:custGeom>
          <a:avLst/>
          <a:gdLst>
            <a:gd name="connsiteX0" fmla="*/ 0 w 2503715"/>
            <a:gd name="connsiteY0" fmla="*/ 0 h 6286500"/>
            <a:gd name="connsiteX1" fmla="*/ 475706 w 2503715"/>
            <a:gd name="connsiteY1" fmla="*/ 0 h 6286500"/>
            <a:gd name="connsiteX2" fmla="*/ 901337 w 2503715"/>
            <a:gd name="connsiteY2" fmla="*/ 0 h 6286500"/>
            <a:gd name="connsiteX3" fmla="*/ 1452155 w 2503715"/>
            <a:gd name="connsiteY3" fmla="*/ 0 h 6286500"/>
            <a:gd name="connsiteX4" fmla="*/ 1927861 w 2503715"/>
            <a:gd name="connsiteY4" fmla="*/ 0 h 6286500"/>
            <a:gd name="connsiteX5" fmla="*/ 2503715 w 2503715"/>
            <a:gd name="connsiteY5" fmla="*/ 0 h 6286500"/>
            <a:gd name="connsiteX6" fmla="*/ 2503715 w 2503715"/>
            <a:gd name="connsiteY6" fmla="*/ 697230 h 6286500"/>
            <a:gd name="connsiteX7" fmla="*/ 2503715 w 2503715"/>
            <a:gd name="connsiteY7" fmla="*/ 1268730 h 6286500"/>
            <a:gd name="connsiteX8" fmla="*/ 2503715 w 2503715"/>
            <a:gd name="connsiteY8" fmla="*/ 1840230 h 6286500"/>
            <a:gd name="connsiteX9" fmla="*/ 2503715 w 2503715"/>
            <a:gd name="connsiteY9" fmla="*/ 2286000 h 6286500"/>
            <a:gd name="connsiteX10" fmla="*/ 2503715 w 2503715"/>
            <a:gd name="connsiteY10" fmla="*/ 2731770 h 6286500"/>
            <a:gd name="connsiteX11" fmla="*/ 2503715 w 2503715"/>
            <a:gd name="connsiteY11" fmla="*/ 3303270 h 6286500"/>
            <a:gd name="connsiteX12" fmla="*/ 2503715 w 2503715"/>
            <a:gd name="connsiteY12" fmla="*/ 3937635 h 6286500"/>
            <a:gd name="connsiteX13" fmla="*/ 2503715 w 2503715"/>
            <a:gd name="connsiteY13" fmla="*/ 4320540 h 6286500"/>
            <a:gd name="connsiteX14" fmla="*/ 2503715 w 2503715"/>
            <a:gd name="connsiteY14" fmla="*/ 4892040 h 6286500"/>
            <a:gd name="connsiteX15" fmla="*/ 2503715 w 2503715"/>
            <a:gd name="connsiteY15" fmla="*/ 5463540 h 6286500"/>
            <a:gd name="connsiteX16" fmla="*/ 2503715 w 2503715"/>
            <a:gd name="connsiteY16" fmla="*/ 6286500 h 6286500"/>
            <a:gd name="connsiteX17" fmla="*/ 1977935 w 2503715"/>
            <a:gd name="connsiteY17" fmla="*/ 6286500 h 6286500"/>
            <a:gd name="connsiteX18" fmla="*/ 1477192 w 2503715"/>
            <a:gd name="connsiteY18" fmla="*/ 6286500 h 6286500"/>
            <a:gd name="connsiteX19" fmla="*/ 1051560 w 2503715"/>
            <a:gd name="connsiteY19" fmla="*/ 6286500 h 6286500"/>
            <a:gd name="connsiteX20" fmla="*/ 600892 w 2503715"/>
            <a:gd name="connsiteY20" fmla="*/ 6286500 h 6286500"/>
            <a:gd name="connsiteX21" fmla="*/ 0 w 2503715"/>
            <a:gd name="connsiteY21" fmla="*/ 6286500 h 6286500"/>
            <a:gd name="connsiteX22" fmla="*/ 0 w 2503715"/>
            <a:gd name="connsiteY22" fmla="*/ 5715000 h 6286500"/>
            <a:gd name="connsiteX23" fmla="*/ 0 w 2503715"/>
            <a:gd name="connsiteY23" fmla="*/ 5143500 h 6286500"/>
            <a:gd name="connsiteX24" fmla="*/ 0 w 2503715"/>
            <a:gd name="connsiteY24" fmla="*/ 4634865 h 6286500"/>
            <a:gd name="connsiteX25" fmla="*/ 0 w 2503715"/>
            <a:gd name="connsiteY25" fmla="*/ 4251960 h 6286500"/>
            <a:gd name="connsiteX26" fmla="*/ 0 w 2503715"/>
            <a:gd name="connsiteY26" fmla="*/ 3869055 h 6286500"/>
            <a:gd name="connsiteX27" fmla="*/ 0 w 2503715"/>
            <a:gd name="connsiteY27" fmla="*/ 3234690 h 6286500"/>
            <a:gd name="connsiteX28" fmla="*/ 0 w 2503715"/>
            <a:gd name="connsiteY28" fmla="*/ 2788920 h 6286500"/>
            <a:gd name="connsiteX29" fmla="*/ 0 w 2503715"/>
            <a:gd name="connsiteY29" fmla="*/ 2091690 h 6286500"/>
            <a:gd name="connsiteX30" fmla="*/ 0 w 2503715"/>
            <a:gd name="connsiteY30" fmla="*/ 1583055 h 6286500"/>
            <a:gd name="connsiteX31" fmla="*/ 0 w 2503715"/>
            <a:gd name="connsiteY31" fmla="*/ 1200150 h 6286500"/>
            <a:gd name="connsiteX32" fmla="*/ 0 w 2503715"/>
            <a:gd name="connsiteY32" fmla="*/ 565785 h 6286500"/>
            <a:gd name="connsiteX33" fmla="*/ 0 w 2503715"/>
            <a:gd name="connsiteY33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03715" h="6286500" extrusionOk="0">
              <a:moveTo>
                <a:pt x="0" y="0"/>
              </a:moveTo>
              <a:cubicBezTo>
                <a:pt x="105776" y="-24654"/>
                <a:pt x="363426" y="46643"/>
                <a:pt x="475706" y="0"/>
              </a:cubicBezTo>
              <a:cubicBezTo>
                <a:pt x="587986" y="-46643"/>
                <a:pt x="739314" y="9808"/>
                <a:pt x="901337" y="0"/>
              </a:cubicBezTo>
              <a:cubicBezTo>
                <a:pt x="1063360" y="-9808"/>
                <a:pt x="1214743" y="26727"/>
                <a:pt x="1452155" y="0"/>
              </a:cubicBezTo>
              <a:cubicBezTo>
                <a:pt x="1689567" y="-26727"/>
                <a:pt x="1824954" y="14970"/>
                <a:pt x="1927861" y="0"/>
              </a:cubicBezTo>
              <a:cubicBezTo>
                <a:pt x="2030768" y="-14970"/>
                <a:pt x="2252742" y="67783"/>
                <a:pt x="2503715" y="0"/>
              </a:cubicBezTo>
              <a:cubicBezTo>
                <a:pt x="2561516" y="236774"/>
                <a:pt x="2443748" y="379978"/>
                <a:pt x="2503715" y="697230"/>
              </a:cubicBezTo>
              <a:cubicBezTo>
                <a:pt x="2563682" y="1014482"/>
                <a:pt x="2470966" y="1047831"/>
                <a:pt x="2503715" y="1268730"/>
              </a:cubicBezTo>
              <a:cubicBezTo>
                <a:pt x="2536464" y="1489629"/>
                <a:pt x="2459730" y="1596526"/>
                <a:pt x="2503715" y="1840230"/>
              </a:cubicBezTo>
              <a:cubicBezTo>
                <a:pt x="2547700" y="2083934"/>
                <a:pt x="2489279" y="2165070"/>
                <a:pt x="2503715" y="2286000"/>
              </a:cubicBezTo>
              <a:cubicBezTo>
                <a:pt x="2518151" y="2406930"/>
                <a:pt x="2466513" y="2547980"/>
                <a:pt x="2503715" y="2731770"/>
              </a:cubicBezTo>
              <a:cubicBezTo>
                <a:pt x="2540917" y="2915560"/>
                <a:pt x="2500004" y="3062549"/>
                <a:pt x="2503715" y="3303270"/>
              </a:cubicBezTo>
              <a:cubicBezTo>
                <a:pt x="2507426" y="3543991"/>
                <a:pt x="2485967" y="3671147"/>
                <a:pt x="2503715" y="3937635"/>
              </a:cubicBezTo>
              <a:cubicBezTo>
                <a:pt x="2521463" y="4204123"/>
                <a:pt x="2503148" y="4170083"/>
                <a:pt x="2503715" y="4320540"/>
              </a:cubicBezTo>
              <a:cubicBezTo>
                <a:pt x="2504282" y="4470997"/>
                <a:pt x="2439276" y="4723248"/>
                <a:pt x="2503715" y="4892040"/>
              </a:cubicBezTo>
              <a:cubicBezTo>
                <a:pt x="2568154" y="5060832"/>
                <a:pt x="2489008" y="5286080"/>
                <a:pt x="2503715" y="5463540"/>
              </a:cubicBezTo>
              <a:cubicBezTo>
                <a:pt x="2518422" y="5641000"/>
                <a:pt x="2471636" y="5985300"/>
                <a:pt x="2503715" y="6286500"/>
              </a:cubicBezTo>
              <a:cubicBezTo>
                <a:pt x="2294111" y="6293661"/>
                <a:pt x="2123355" y="6229838"/>
                <a:pt x="1977935" y="6286500"/>
              </a:cubicBezTo>
              <a:cubicBezTo>
                <a:pt x="1832515" y="6343162"/>
                <a:pt x="1672955" y="6270789"/>
                <a:pt x="1477192" y="6286500"/>
              </a:cubicBezTo>
              <a:cubicBezTo>
                <a:pt x="1281429" y="6302211"/>
                <a:pt x="1248281" y="6257165"/>
                <a:pt x="1051560" y="6286500"/>
              </a:cubicBezTo>
              <a:cubicBezTo>
                <a:pt x="854839" y="6315835"/>
                <a:pt x="821968" y="6283759"/>
                <a:pt x="600892" y="6286500"/>
              </a:cubicBezTo>
              <a:cubicBezTo>
                <a:pt x="379816" y="6289241"/>
                <a:pt x="236937" y="6252697"/>
                <a:pt x="0" y="6286500"/>
              </a:cubicBezTo>
              <a:cubicBezTo>
                <a:pt x="-56413" y="6167002"/>
                <a:pt x="19429" y="5855876"/>
                <a:pt x="0" y="5715000"/>
              </a:cubicBezTo>
              <a:cubicBezTo>
                <a:pt x="-19429" y="5574124"/>
                <a:pt x="2824" y="5390350"/>
                <a:pt x="0" y="5143500"/>
              </a:cubicBezTo>
              <a:cubicBezTo>
                <a:pt x="-2824" y="4896650"/>
                <a:pt x="9913" y="4875610"/>
                <a:pt x="0" y="4634865"/>
              </a:cubicBezTo>
              <a:cubicBezTo>
                <a:pt x="-9913" y="4394120"/>
                <a:pt x="39273" y="4387171"/>
                <a:pt x="0" y="4251960"/>
              </a:cubicBezTo>
              <a:cubicBezTo>
                <a:pt x="-39273" y="4116749"/>
                <a:pt x="31527" y="4005286"/>
                <a:pt x="0" y="3869055"/>
              </a:cubicBezTo>
              <a:cubicBezTo>
                <a:pt x="-31527" y="3732824"/>
                <a:pt x="58008" y="3488460"/>
                <a:pt x="0" y="3234690"/>
              </a:cubicBezTo>
              <a:cubicBezTo>
                <a:pt x="-58008" y="2980921"/>
                <a:pt x="39942" y="2922359"/>
                <a:pt x="0" y="2788920"/>
              </a:cubicBezTo>
              <a:cubicBezTo>
                <a:pt x="-39942" y="2655481"/>
                <a:pt x="20769" y="2245092"/>
                <a:pt x="0" y="2091690"/>
              </a:cubicBezTo>
              <a:cubicBezTo>
                <a:pt x="-20769" y="1938288"/>
                <a:pt x="2969" y="1774731"/>
                <a:pt x="0" y="1583055"/>
              </a:cubicBezTo>
              <a:cubicBezTo>
                <a:pt x="-2969" y="1391380"/>
                <a:pt x="4819" y="1377758"/>
                <a:pt x="0" y="1200150"/>
              </a:cubicBezTo>
              <a:cubicBezTo>
                <a:pt x="-4819" y="1022542"/>
                <a:pt x="22982" y="740971"/>
                <a:pt x="0" y="565785"/>
              </a:cubicBezTo>
              <a:cubicBezTo>
                <a:pt x="-22982" y="390599"/>
                <a:pt x="106" y="180495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0</xdr:colOff>
      <xdr:row>1</xdr:row>
      <xdr:rowOff>54429</xdr:rowOff>
    </xdr:from>
    <xdr:to>
      <xdr:col>6</xdr:col>
      <xdr:colOff>816429</xdr:colOff>
      <xdr:row>32</xdr:row>
      <xdr:rowOff>13608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692E300-A927-74E1-E223-EB84A08FA82B}"/>
            </a:ext>
          </a:extLst>
        </xdr:cNvPr>
        <xdr:cNvSpPr/>
      </xdr:nvSpPr>
      <xdr:spPr>
        <a:xfrm>
          <a:off x="314325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7A02-ACF0-48AE-8724-ACC4BC570ACB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DD8296F-98C8-429D-BF38-E059D9D3FAF3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E54C6-5712-4EA8-AB66-C6570755C11A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8C4A7A2-B413-4EA3-9E45-B8F8A6EA86CC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136071</xdr:colOff>
      <xdr:row>39</xdr:row>
      <xdr:rowOff>68036</xdr:rowOff>
    </xdr:from>
    <xdr:to>
      <xdr:col>2</xdr:col>
      <xdr:colOff>421821</xdr:colOff>
      <xdr:row>43</xdr:row>
      <xdr:rowOff>122465</xdr:rowOff>
    </xdr:to>
    <xdr:sp macro="" textlink="">
      <xdr:nvSpPr>
        <xdr:cNvPr id="6" name="Balão de Fala: Retângulo 5">
          <a:extLst>
            <a:ext uri="{FF2B5EF4-FFF2-40B4-BE49-F238E27FC236}">
              <a16:creationId xmlns:a16="http://schemas.microsoft.com/office/drawing/2014/main" id="{8C3F4363-7030-FF7A-B0E0-8998EDF6CC39}"/>
            </a:ext>
          </a:extLst>
        </xdr:cNvPr>
        <xdr:cNvSpPr/>
      </xdr:nvSpPr>
      <xdr:spPr>
        <a:xfrm>
          <a:off x="136071" y="8531679"/>
          <a:ext cx="2667000" cy="816429"/>
        </a:xfrm>
        <a:prstGeom prst="wedgeRectCallout">
          <a:avLst>
            <a:gd name="adj1" fmla="val 35951"/>
            <a:gd name="adj2" fmla="val -193332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 tabela de marcação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manual não tem automação, servindo apenas para anotações.</a:t>
          </a:r>
        </a:p>
      </xdr:txBody>
    </xdr:sp>
    <xdr:clientData/>
  </xdr:twoCellAnchor>
  <xdr:twoCellAnchor>
    <xdr:from>
      <xdr:col>0</xdr:col>
      <xdr:colOff>122464</xdr:colOff>
      <xdr:row>33</xdr:row>
      <xdr:rowOff>108856</xdr:rowOff>
    </xdr:from>
    <xdr:to>
      <xdr:col>1</xdr:col>
      <xdr:colOff>979713</xdr:colOff>
      <xdr:row>38</xdr:row>
      <xdr:rowOff>68035</xdr:rowOff>
    </xdr:to>
    <xdr:sp macro="" textlink="">
      <xdr:nvSpPr>
        <xdr:cNvPr id="10" name="Balão de Pensamento: Nuvem 9">
          <a:extLst>
            <a:ext uri="{FF2B5EF4-FFF2-40B4-BE49-F238E27FC236}">
              <a16:creationId xmlns:a16="http://schemas.microsoft.com/office/drawing/2014/main" id="{1EF33590-A142-0FE6-B9B0-C5FFCCE96AFE}"/>
            </a:ext>
          </a:extLst>
        </xdr:cNvPr>
        <xdr:cNvSpPr/>
      </xdr:nvSpPr>
      <xdr:spPr>
        <a:xfrm>
          <a:off x="122464" y="7415892"/>
          <a:ext cx="1728106" cy="925286"/>
        </a:xfrm>
        <a:prstGeom prst="cloudCallout">
          <a:avLst>
            <a:gd name="adj1" fmla="val -2289"/>
            <a:gd name="adj2" fmla="val -82794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6</xdr:col>
      <xdr:colOff>734785</xdr:colOff>
      <xdr:row>33</xdr:row>
      <xdr:rowOff>149678</xdr:rowOff>
    </xdr:from>
    <xdr:to>
      <xdr:col>9</xdr:col>
      <xdr:colOff>204107</xdr:colOff>
      <xdr:row>38</xdr:row>
      <xdr:rowOff>108857</xdr:rowOff>
    </xdr:to>
    <xdr:sp macro="" textlink="">
      <xdr:nvSpPr>
        <xdr:cNvPr id="13" name="Balão de Pensamento: Nuvem 12">
          <a:extLst>
            <a:ext uri="{FF2B5EF4-FFF2-40B4-BE49-F238E27FC236}">
              <a16:creationId xmlns:a16="http://schemas.microsoft.com/office/drawing/2014/main" id="{F968DE4B-6BE5-BFE9-A79F-925826922E8B}"/>
            </a:ext>
          </a:extLst>
        </xdr:cNvPr>
        <xdr:cNvSpPr/>
      </xdr:nvSpPr>
      <xdr:spPr>
        <a:xfrm>
          <a:off x="6408964" y="7456714"/>
          <a:ext cx="2000250" cy="925286"/>
        </a:xfrm>
        <a:prstGeom prst="cloudCallout">
          <a:avLst>
            <a:gd name="adj1" fmla="val -35944"/>
            <a:gd name="adj2" fmla="val -91617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Colunas auxiliares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ficam ocultas.</a:t>
          </a:r>
        </a:p>
      </xdr:txBody>
    </xdr:sp>
    <xdr:clientData/>
  </xdr:twoCellAnchor>
  <xdr:twoCellAnchor>
    <xdr:from>
      <xdr:col>24</xdr:col>
      <xdr:colOff>13608</xdr:colOff>
      <xdr:row>33</xdr:row>
      <xdr:rowOff>68034</xdr:rowOff>
    </xdr:from>
    <xdr:to>
      <xdr:col>25</xdr:col>
      <xdr:colOff>1319894</xdr:colOff>
      <xdr:row>38</xdr:row>
      <xdr:rowOff>27213</xdr:rowOff>
    </xdr:to>
    <xdr:sp macro="" textlink="">
      <xdr:nvSpPr>
        <xdr:cNvPr id="15" name="Balão de Pensamento: Nuvem 14">
          <a:extLst>
            <a:ext uri="{FF2B5EF4-FFF2-40B4-BE49-F238E27FC236}">
              <a16:creationId xmlns:a16="http://schemas.microsoft.com/office/drawing/2014/main" id="{A9EB77C9-731C-5374-E1B4-046C7A3E1457}"/>
            </a:ext>
          </a:extLst>
        </xdr:cNvPr>
        <xdr:cNvSpPr/>
      </xdr:nvSpPr>
      <xdr:spPr>
        <a:xfrm>
          <a:off x="20886965" y="7375070"/>
          <a:ext cx="1687286" cy="925286"/>
        </a:xfrm>
        <a:prstGeom prst="cloudCallout">
          <a:avLst>
            <a:gd name="adj1" fmla="val -27232"/>
            <a:gd name="adj2" fmla="val -81322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3</xdr:col>
      <xdr:colOff>136070</xdr:colOff>
      <xdr:row>8</xdr:row>
      <xdr:rowOff>176895</xdr:rowOff>
    </xdr:from>
    <xdr:to>
      <xdr:col>5</xdr:col>
      <xdr:colOff>285749</xdr:colOff>
      <xdr:row>12</xdr:row>
      <xdr:rowOff>122466</xdr:rowOff>
    </xdr:to>
    <xdr:sp macro="" textlink="">
      <xdr:nvSpPr>
        <xdr:cNvPr id="16" name="Balão de Fala: Retângulo 15">
          <a:extLst>
            <a:ext uri="{FF2B5EF4-FFF2-40B4-BE49-F238E27FC236}">
              <a16:creationId xmlns:a16="http://schemas.microsoft.com/office/drawing/2014/main" id="{4167CFD1-0338-5C6C-B83E-0C4AED1C8D79}"/>
            </a:ext>
          </a:extLst>
        </xdr:cNvPr>
        <xdr:cNvSpPr/>
      </xdr:nvSpPr>
      <xdr:spPr>
        <a:xfrm>
          <a:off x="3279320" y="2272395"/>
          <a:ext cx="1836965" cy="762000"/>
        </a:xfrm>
        <a:prstGeom prst="wedgeRectCallout">
          <a:avLst>
            <a:gd name="adj1" fmla="val -1498"/>
            <a:gd name="adj2" fmla="val 977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que células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preenchidas fiquem coloridas</a:t>
          </a:r>
        </a:p>
      </xdr:txBody>
    </xdr:sp>
    <xdr:clientData/>
  </xdr:twoCellAnchor>
  <xdr:twoCellAnchor>
    <xdr:from>
      <xdr:col>2</xdr:col>
      <xdr:colOff>326569</xdr:colOff>
      <xdr:row>27</xdr:row>
      <xdr:rowOff>40822</xdr:rowOff>
    </xdr:from>
    <xdr:to>
      <xdr:col>6</xdr:col>
      <xdr:colOff>449036</xdr:colOff>
      <xdr:row>31</xdr:row>
      <xdr:rowOff>81643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17F8D2CD-293D-C0F0-8F5C-8175ED3C9A56}"/>
            </a:ext>
          </a:extLst>
        </xdr:cNvPr>
        <xdr:cNvSpPr/>
      </xdr:nvSpPr>
      <xdr:spPr>
        <a:xfrm>
          <a:off x="2707819" y="6014358"/>
          <a:ext cx="3415396" cy="857249"/>
        </a:xfrm>
        <a:prstGeom prst="wedgeRectCallout">
          <a:avLst>
            <a:gd name="adj1" fmla="val -7412"/>
            <a:gd name="adj2" fmla="val -8638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amarelas com escrita vermelha indicam erro 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nunca devem aparecer.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ocorrerem, algo no lançamento precisa ser corrigido.</a:t>
          </a:r>
        </a:p>
      </xdr:txBody>
    </xdr:sp>
    <xdr:clientData/>
  </xdr:twoCellAnchor>
  <xdr:twoCellAnchor>
    <xdr:from>
      <xdr:col>15</xdr:col>
      <xdr:colOff>476251</xdr:colOff>
      <xdr:row>7</xdr:row>
      <xdr:rowOff>54429</xdr:rowOff>
    </xdr:from>
    <xdr:to>
      <xdr:col>19</xdr:col>
      <xdr:colOff>435429</xdr:colOff>
      <xdr:row>11</xdr:row>
      <xdr:rowOff>1</xdr:rowOff>
    </xdr:to>
    <xdr:sp macro="" textlink="">
      <xdr:nvSpPr>
        <xdr:cNvPr id="18" name="Balão de Fala: Retângulo 17">
          <a:extLst>
            <a:ext uri="{FF2B5EF4-FFF2-40B4-BE49-F238E27FC236}">
              <a16:creationId xmlns:a16="http://schemas.microsoft.com/office/drawing/2014/main" id="{55CA7B1D-E9FF-799E-CDEB-51B3FC9E0C46}"/>
            </a:ext>
          </a:extLst>
        </xdr:cNvPr>
        <xdr:cNvSpPr/>
      </xdr:nvSpPr>
      <xdr:spPr>
        <a:xfrm>
          <a:off x="13756822" y="1945822"/>
          <a:ext cx="3333750" cy="762000"/>
        </a:xfrm>
        <a:prstGeom prst="wedgeRectCallout">
          <a:avLst>
            <a:gd name="adj1" fmla="val -43978"/>
            <a:gd name="adj2" fmla="val 144170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Sempre que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houve algum tempo ainda não tratado, ele será destacado de vermelho (negativo) ou verde (positivo).</a:t>
          </a:r>
        </a:p>
      </xdr:txBody>
    </xdr:sp>
    <xdr:clientData/>
  </xdr:twoCellAnchor>
  <xdr:twoCellAnchor>
    <xdr:from>
      <xdr:col>17</xdr:col>
      <xdr:colOff>693965</xdr:colOff>
      <xdr:row>11</xdr:row>
      <xdr:rowOff>1700</xdr:rowOff>
    </xdr:from>
    <xdr:to>
      <xdr:col>19</xdr:col>
      <xdr:colOff>108857</xdr:colOff>
      <xdr:row>14</xdr:row>
      <xdr:rowOff>68035</xdr:rowOff>
    </xdr:to>
    <xdr:sp macro="" textlink="">
      <xdr:nvSpPr>
        <xdr:cNvPr id="23" name="Forma Livre: Forma 22">
          <a:extLst>
            <a:ext uri="{FF2B5EF4-FFF2-40B4-BE49-F238E27FC236}">
              <a16:creationId xmlns:a16="http://schemas.microsoft.com/office/drawing/2014/main" id="{433207FB-7B0A-9900-6319-93D8A50F573E}"/>
            </a:ext>
          </a:extLst>
        </xdr:cNvPr>
        <xdr:cNvSpPr/>
      </xdr:nvSpPr>
      <xdr:spPr>
        <a:xfrm>
          <a:off x="15661822" y="2709521"/>
          <a:ext cx="1102178" cy="678657"/>
        </a:xfrm>
        <a:custGeom>
          <a:avLst/>
          <a:gdLst>
            <a:gd name="connsiteX0" fmla="*/ 0 w 1850572"/>
            <a:gd name="connsiteY0" fmla="*/ 0 h 435429"/>
            <a:gd name="connsiteX1" fmla="*/ 340179 w 1850572"/>
            <a:gd name="connsiteY1" fmla="*/ 0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850572"/>
            <a:gd name="connsiteY0" fmla="*/ 0 h 435429"/>
            <a:gd name="connsiteX1" fmla="*/ 503464 w 1850572"/>
            <a:gd name="connsiteY1" fmla="*/ 13607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306286"/>
            <a:gd name="connsiteY0" fmla="*/ 0 h 381001"/>
            <a:gd name="connsiteX1" fmla="*/ 503464 w 1306286"/>
            <a:gd name="connsiteY1" fmla="*/ 13607 h 381001"/>
            <a:gd name="connsiteX2" fmla="*/ 1306286 w 1306286"/>
            <a:gd name="connsiteY2" fmla="*/ 381001 h 381001"/>
            <a:gd name="connsiteX3" fmla="*/ 0 w 1306286"/>
            <a:gd name="connsiteY3" fmla="*/ 0 h 381001"/>
            <a:gd name="connsiteX0" fmla="*/ 0 w 1306286"/>
            <a:gd name="connsiteY0" fmla="*/ 312965 h 693966"/>
            <a:gd name="connsiteX1" fmla="*/ 1142999 w 1306286"/>
            <a:gd name="connsiteY1" fmla="*/ 0 h 693966"/>
            <a:gd name="connsiteX2" fmla="*/ 1306286 w 1306286"/>
            <a:gd name="connsiteY2" fmla="*/ 693966 h 693966"/>
            <a:gd name="connsiteX3" fmla="*/ 0 w 1306286"/>
            <a:gd name="connsiteY3" fmla="*/ 312965 h 693966"/>
            <a:gd name="connsiteX0" fmla="*/ 0 w 884464"/>
            <a:gd name="connsiteY0" fmla="*/ 13607 h 693966"/>
            <a:gd name="connsiteX1" fmla="*/ 721177 w 884464"/>
            <a:gd name="connsiteY1" fmla="*/ 0 h 693966"/>
            <a:gd name="connsiteX2" fmla="*/ 884464 w 884464"/>
            <a:gd name="connsiteY2" fmla="*/ 693966 h 693966"/>
            <a:gd name="connsiteX3" fmla="*/ 0 w 884464"/>
            <a:gd name="connsiteY3" fmla="*/ 13607 h 693966"/>
            <a:gd name="connsiteX0" fmla="*/ 0 w 1102178"/>
            <a:gd name="connsiteY0" fmla="*/ 0 h 693967"/>
            <a:gd name="connsiteX1" fmla="*/ 938891 w 1102178"/>
            <a:gd name="connsiteY1" fmla="*/ 1 h 693967"/>
            <a:gd name="connsiteX2" fmla="*/ 1102178 w 1102178"/>
            <a:gd name="connsiteY2" fmla="*/ 693967 h 693967"/>
            <a:gd name="connsiteX3" fmla="*/ 0 w 1102178"/>
            <a:gd name="connsiteY3" fmla="*/ 0 h 6939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02178" h="693967">
              <a:moveTo>
                <a:pt x="0" y="0"/>
              </a:moveTo>
              <a:lnTo>
                <a:pt x="938891" y="1"/>
              </a:lnTo>
              <a:lnTo>
                <a:pt x="1102178" y="693967"/>
              </a:lnTo>
              <a:lnTo>
                <a:pt x="0" y="0"/>
              </a:lnTo>
              <a:close/>
            </a:path>
          </a:pathLst>
        </a:cu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pt-BR" sz="1400" kern="120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843642</xdr:colOff>
      <xdr:row>32</xdr:row>
      <xdr:rowOff>285750</xdr:rowOff>
    </xdr:from>
    <xdr:to>
      <xdr:col>15</xdr:col>
      <xdr:colOff>476250</xdr:colOff>
      <xdr:row>40</xdr:row>
      <xdr:rowOff>54428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7D59C244-4EE5-D074-61DA-13F71D369F8D}"/>
            </a:ext>
          </a:extLst>
        </xdr:cNvPr>
        <xdr:cNvCxnSpPr/>
      </xdr:nvCxnSpPr>
      <xdr:spPr>
        <a:xfrm flipV="1">
          <a:off x="12423321" y="7279821"/>
          <a:ext cx="1333500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8</xdr:col>
      <xdr:colOff>40824</xdr:colOff>
      <xdr:row>5</xdr:row>
      <xdr:rowOff>13606</xdr:rowOff>
    </xdr:from>
    <xdr:to>
      <xdr:col>11</xdr:col>
      <xdr:colOff>27215</xdr:colOff>
      <xdr:row>8</xdr:row>
      <xdr:rowOff>149678</xdr:rowOff>
    </xdr:to>
    <xdr:sp macro="" textlink="">
      <xdr:nvSpPr>
        <xdr:cNvPr id="44" name="Balão de Fala: Retângulo 43">
          <a:extLst>
            <a:ext uri="{FF2B5EF4-FFF2-40B4-BE49-F238E27FC236}">
              <a16:creationId xmlns:a16="http://schemas.microsoft.com/office/drawing/2014/main" id="{459F5FEA-4878-07B8-0828-039767F069DF}"/>
            </a:ext>
          </a:extLst>
        </xdr:cNvPr>
        <xdr:cNvSpPr/>
      </xdr:nvSpPr>
      <xdr:spPr>
        <a:xfrm>
          <a:off x="7402288" y="1496785"/>
          <a:ext cx="2517320" cy="748393"/>
        </a:xfrm>
        <a:prstGeom prst="wedgeRectCallout">
          <a:avLst>
            <a:gd name="adj1" fmla="val 63050"/>
            <a:gd name="adj2" fmla="val 72002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com essa coloração de cinza claro não são feitas para serem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alteradas.</a:t>
          </a:r>
        </a:p>
      </xdr:txBody>
    </xdr:sp>
    <xdr:clientData/>
  </xdr:twoCellAnchor>
  <xdr:twoCellAnchor>
    <xdr:from>
      <xdr:col>6</xdr:col>
      <xdr:colOff>721180</xdr:colOff>
      <xdr:row>8</xdr:row>
      <xdr:rowOff>163284</xdr:rowOff>
    </xdr:from>
    <xdr:to>
      <xdr:col>9</xdr:col>
      <xdr:colOff>707572</xdr:colOff>
      <xdr:row>12</xdr:row>
      <xdr:rowOff>95248</xdr:rowOff>
    </xdr:to>
    <xdr:sp macro="" textlink="">
      <xdr:nvSpPr>
        <xdr:cNvPr id="46" name="Balão de Fala: Retângulo 45">
          <a:extLst>
            <a:ext uri="{FF2B5EF4-FFF2-40B4-BE49-F238E27FC236}">
              <a16:creationId xmlns:a16="http://schemas.microsoft.com/office/drawing/2014/main" id="{52671E5D-2DE7-5B13-CEB6-7F075BB4BEE1}"/>
            </a:ext>
          </a:extLst>
        </xdr:cNvPr>
        <xdr:cNvSpPr/>
      </xdr:nvSpPr>
      <xdr:spPr>
        <a:xfrm>
          <a:off x="6395359" y="2258784"/>
          <a:ext cx="2517320" cy="748393"/>
        </a:xfrm>
        <a:prstGeom prst="wedgeRectCallout">
          <a:avLst>
            <a:gd name="adj1" fmla="val -61275"/>
            <a:gd name="adj2" fmla="val 8291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Já as células brancas (ou com cores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dias especiais) </a:t>
          </a:r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podem ser preenchidas.</a:t>
          </a:r>
        </a:p>
      </xdr:txBody>
    </xdr:sp>
    <xdr:clientData/>
  </xdr:twoCellAnchor>
  <xdr:twoCellAnchor>
    <xdr:from>
      <xdr:col>11</xdr:col>
      <xdr:colOff>54428</xdr:colOff>
      <xdr:row>26</xdr:row>
      <xdr:rowOff>95249</xdr:rowOff>
    </xdr:from>
    <xdr:to>
      <xdr:col>15</xdr:col>
      <xdr:colOff>95251</xdr:colOff>
      <xdr:row>31</xdr:row>
      <xdr:rowOff>176893</xdr:rowOff>
    </xdr:to>
    <xdr:sp macro="" textlink="">
      <xdr:nvSpPr>
        <xdr:cNvPr id="55" name="Balão de Fala: Retângulo 54">
          <a:extLst>
            <a:ext uri="{FF2B5EF4-FFF2-40B4-BE49-F238E27FC236}">
              <a16:creationId xmlns:a16="http://schemas.microsoft.com/office/drawing/2014/main" id="{A794C0E8-940D-03EE-A58B-4C974A437A6B}"/>
            </a:ext>
          </a:extLst>
        </xdr:cNvPr>
        <xdr:cNvSpPr/>
      </xdr:nvSpPr>
      <xdr:spPr>
        <a:xfrm>
          <a:off x="9946821" y="5864678"/>
          <a:ext cx="3429001" cy="1102179"/>
        </a:xfrm>
        <a:prstGeom prst="wedgeRectCallout">
          <a:avLst>
            <a:gd name="adj1" fmla="val 49499"/>
            <a:gd name="adj2" fmla="val 10361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acompanha todos os totais de horas por tipo de tratamento, bem como os saldos dos Bancos de Horas mensais e de feriados e o saldo total do mês (de todos os créditos e débitos de horas).</a:t>
          </a:r>
        </a:p>
      </xdr:txBody>
    </xdr:sp>
    <xdr:clientData/>
  </xdr:twoCellAnchor>
  <xdr:twoCellAnchor>
    <xdr:from>
      <xdr:col>11</xdr:col>
      <xdr:colOff>693964</xdr:colOff>
      <xdr:row>35</xdr:row>
      <xdr:rowOff>68035</xdr:rowOff>
    </xdr:from>
    <xdr:to>
      <xdr:col>14</xdr:col>
      <xdr:colOff>68036</xdr:colOff>
      <xdr:row>38</xdr:row>
      <xdr:rowOff>108856</xdr:rowOff>
    </xdr:to>
    <xdr:sp macro="" textlink="">
      <xdr:nvSpPr>
        <xdr:cNvPr id="56" name="Balão de Fala: Retângulo 55">
          <a:extLst>
            <a:ext uri="{FF2B5EF4-FFF2-40B4-BE49-F238E27FC236}">
              <a16:creationId xmlns:a16="http://schemas.microsoft.com/office/drawing/2014/main" id="{9C0F11AC-9689-6B43-27C8-7050137A8072}"/>
            </a:ext>
          </a:extLst>
        </xdr:cNvPr>
        <xdr:cNvSpPr/>
      </xdr:nvSpPr>
      <xdr:spPr>
        <a:xfrm>
          <a:off x="10586357" y="7769678"/>
          <a:ext cx="1918608" cy="612321"/>
        </a:xfrm>
        <a:prstGeom prst="wedgeRectCallout">
          <a:avLst>
            <a:gd name="adj1" fmla="val 145529"/>
            <a:gd name="adj2" fmla="val -27330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mensal</a:t>
          </a:r>
        </a:p>
      </xdr:txBody>
    </xdr:sp>
    <xdr:clientData/>
  </xdr:twoCellAnchor>
  <xdr:twoCellAnchor>
    <xdr:from>
      <xdr:col>24</xdr:col>
      <xdr:colOff>0</xdr:colOff>
      <xdr:row>38</xdr:row>
      <xdr:rowOff>163286</xdr:rowOff>
    </xdr:from>
    <xdr:to>
      <xdr:col>25</xdr:col>
      <xdr:colOff>1537608</xdr:colOff>
      <xdr:row>42</xdr:row>
      <xdr:rowOff>13607</xdr:rowOff>
    </xdr:to>
    <xdr:sp macro="" textlink="">
      <xdr:nvSpPr>
        <xdr:cNvPr id="57" name="Balão de Fala: Retângulo 56">
          <a:extLst>
            <a:ext uri="{FF2B5EF4-FFF2-40B4-BE49-F238E27FC236}">
              <a16:creationId xmlns:a16="http://schemas.microsoft.com/office/drawing/2014/main" id="{7BD03363-0AFE-3D07-149A-63C237154D1C}"/>
            </a:ext>
          </a:extLst>
        </xdr:cNvPr>
        <xdr:cNvSpPr/>
      </xdr:nvSpPr>
      <xdr:spPr>
        <a:xfrm>
          <a:off x="20873357" y="8436429"/>
          <a:ext cx="1918608" cy="612321"/>
        </a:xfrm>
        <a:prstGeom prst="wedgeRectCallout">
          <a:avLst>
            <a:gd name="adj1" fmla="val -91351"/>
            <a:gd name="adj2" fmla="val -12510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de feriados</a:t>
          </a:r>
        </a:p>
      </xdr:txBody>
    </xdr:sp>
    <xdr:clientData/>
  </xdr:twoCellAnchor>
  <xdr:twoCellAnchor>
    <xdr:from>
      <xdr:col>19</xdr:col>
      <xdr:colOff>476249</xdr:colOff>
      <xdr:row>44</xdr:row>
      <xdr:rowOff>122465</xdr:rowOff>
    </xdr:from>
    <xdr:to>
      <xdr:col>22</xdr:col>
      <xdr:colOff>557894</xdr:colOff>
      <xdr:row>49</xdr:row>
      <xdr:rowOff>122465</xdr:rowOff>
    </xdr:to>
    <xdr:sp macro="" textlink="">
      <xdr:nvSpPr>
        <xdr:cNvPr id="58" name="Balão de Fala: Retângulo 57">
          <a:extLst>
            <a:ext uri="{FF2B5EF4-FFF2-40B4-BE49-F238E27FC236}">
              <a16:creationId xmlns:a16="http://schemas.microsoft.com/office/drawing/2014/main" id="{E2FCB6F3-71F9-0D25-80CD-D8028D01026B}"/>
            </a:ext>
          </a:extLst>
        </xdr:cNvPr>
        <xdr:cNvSpPr/>
      </xdr:nvSpPr>
      <xdr:spPr>
        <a:xfrm>
          <a:off x="17131392" y="9525001"/>
          <a:ext cx="2612573" cy="952500"/>
        </a:xfrm>
        <a:prstGeom prst="wedgeRectCallout">
          <a:avLst>
            <a:gd name="adj1" fmla="val 11043"/>
            <a:gd name="adj2" fmla="val -2111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Banco de Horas de feriados pega o valor acumulado e desconta as horas de CRE2 feitas no mês.</a:t>
          </a:r>
        </a:p>
      </xdr:txBody>
    </xdr:sp>
    <xdr:clientData/>
  </xdr:twoCellAnchor>
  <xdr:twoCellAnchor>
    <xdr:from>
      <xdr:col>3</xdr:col>
      <xdr:colOff>81645</xdr:colOff>
      <xdr:row>0</xdr:row>
      <xdr:rowOff>653144</xdr:rowOff>
    </xdr:from>
    <xdr:to>
      <xdr:col>5</xdr:col>
      <xdr:colOff>680358</xdr:colOff>
      <xdr:row>6</xdr:row>
      <xdr:rowOff>1</xdr:rowOff>
    </xdr:to>
    <xdr:sp macro="" textlink="">
      <xdr:nvSpPr>
        <xdr:cNvPr id="60" name="Balão de Pensamento: Nuvem 59">
          <a:extLst>
            <a:ext uri="{FF2B5EF4-FFF2-40B4-BE49-F238E27FC236}">
              <a16:creationId xmlns:a16="http://schemas.microsoft.com/office/drawing/2014/main" id="{B15672D5-4037-9886-297D-54004EE101EA}"/>
            </a:ext>
          </a:extLst>
        </xdr:cNvPr>
        <xdr:cNvSpPr/>
      </xdr:nvSpPr>
      <xdr:spPr>
        <a:xfrm>
          <a:off x="3224895" y="653144"/>
          <a:ext cx="2285999" cy="1034143"/>
        </a:xfrm>
        <a:prstGeom prst="cloudCallout">
          <a:avLst>
            <a:gd name="adj1" fmla="val 87695"/>
            <a:gd name="adj2" fmla="val -32329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insere os seus pontos como estão no SAP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</xdr:txBody>
    </xdr:sp>
    <xdr:clientData/>
  </xdr:twoCellAnchor>
  <xdr:twoCellAnchor>
    <xdr:from>
      <xdr:col>21</xdr:col>
      <xdr:colOff>108858</xdr:colOff>
      <xdr:row>2</xdr:row>
      <xdr:rowOff>40822</xdr:rowOff>
    </xdr:from>
    <xdr:to>
      <xdr:col>23</xdr:col>
      <xdr:colOff>707572</xdr:colOff>
      <xdr:row>7</xdr:row>
      <xdr:rowOff>54429</xdr:rowOff>
    </xdr:to>
    <xdr:sp macro="" textlink="">
      <xdr:nvSpPr>
        <xdr:cNvPr id="62" name="Balão de Pensamento: Nuvem 61">
          <a:extLst>
            <a:ext uri="{FF2B5EF4-FFF2-40B4-BE49-F238E27FC236}">
              <a16:creationId xmlns:a16="http://schemas.microsoft.com/office/drawing/2014/main" id="{29F813B9-1153-78D9-6C59-2AE28367A6FC}"/>
            </a:ext>
          </a:extLst>
        </xdr:cNvPr>
        <xdr:cNvSpPr/>
      </xdr:nvSpPr>
      <xdr:spPr>
        <a:xfrm>
          <a:off x="18451287" y="911679"/>
          <a:ext cx="2285999" cy="1034143"/>
        </a:xfrm>
        <a:prstGeom prst="cloudCallout">
          <a:avLst>
            <a:gd name="adj1" fmla="val -86114"/>
            <a:gd name="adj2" fmla="val -59961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positivas.</a:t>
          </a:r>
        </a:p>
      </xdr:txBody>
    </xdr:sp>
    <xdr:clientData/>
  </xdr:twoCellAnchor>
  <xdr:twoCellAnchor>
    <xdr:from>
      <xdr:col>12</xdr:col>
      <xdr:colOff>530678</xdr:colOff>
      <xdr:row>1</xdr:row>
      <xdr:rowOff>2</xdr:rowOff>
    </xdr:from>
    <xdr:to>
      <xdr:col>15</xdr:col>
      <xdr:colOff>272142</xdr:colOff>
      <xdr:row>6</xdr:row>
      <xdr:rowOff>13609</xdr:rowOff>
    </xdr:to>
    <xdr:sp macro="" textlink="">
      <xdr:nvSpPr>
        <xdr:cNvPr id="64" name="Balão de Pensamento: Nuvem 63">
          <a:extLst>
            <a:ext uri="{FF2B5EF4-FFF2-40B4-BE49-F238E27FC236}">
              <a16:creationId xmlns:a16="http://schemas.microsoft.com/office/drawing/2014/main" id="{6F80845C-4ECA-4F44-0773-031456E915B1}"/>
            </a:ext>
          </a:extLst>
        </xdr:cNvPr>
        <xdr:cNvSpPr/>
      </xdr:nvSpPr>
      <xdr:spPr>
        <a:xfrm>
          <a:off x="11266714" y="666752"/>
          <a:ext cx="2285999" cy="1034143"/>
        </a:xfrm>
        <a:prstGeom prst="cloudCallout">
          <a:avLst>
            <a:gd name="adj1" fmla="val 72220"/>
            <a:gd name="adj2" fmla="val -42856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negativas.</a:t>
          </a:r>
          <a:endParaRPr lang="pt-BR" sz="1400" kern="1200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25</xdr:col>
      <xdr:colOff>2476501</xdr:colOff>
      <xdr:row>19</xdr:row>
      <xdr:rowOff>13607</xdr:rowOff>
    </xdr:from>
    <xdr:to>
      <xdr:col>25</xdr:col>
      <xdr:colOff>4191000</xdr:colOff>
      <xdr:row>21</xdr:row>
      <xdr:rowOff>122465</xdr:rowOff>
    </xdr:to>
    <xdr:sp macro="" textlink="">
      <xdr:nvSpPr>
        <xdr:cNvPr id="65" name="Balão de Fala: Retângulo 64">
          <a:extLst>
            <a:ext uri="{FF2B5EF4-FFF2-40B4-BE49-F238E27FC236}">
              <a16:creationId xmlns:a16="http://schemas.microsoft.com/office/drawing/2014/main" id="{EA45A9B4-9D37-70D4-66CB-3CA82A781401}"/>
            </a:ext>
          </a:extLst>
        </xdr:cNvPr>
        <xdr:cNvSpPr/>
      </xdr:nvSpPr>
      <xdr:spPr>
        <a:xfrm>
          <a:off x="23730858" y="4354286"/>
          <a:ext cx="1714499" cy="517072"/>
        </a:xfrm>
        <a:prstGeom prst="wedgeRectCallout">
          <a:avLst>
            <a:gd name="adj1" fmla="val 7223"/>
            <a:gd name="adj2" fmla="val 124424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Lançar almoço.</a:t>
          </a:r>
        </a:p>
      </xdr:txBody>
    </xdr:sp>
    <xdr:clientData/>
  </xdr:twoCellAnchor>
  <xdr:twoCellAnchor>
    <xdr:from>
      <xdr:col>25</xdr:col>
      <xdr:colOff>1347106</xdr:colOff>
      <xdr:row>32</xdr:row>
      <xdr:rowOff>108858</xdr:rowOff>
    </xdr:from>
    <xdr:to>
      <xdr:col>26</xdr:col>
      <xdr:colOff>571500</xdr:colOff>
      <xdr:row>37</xdr:row>
      <xdr:rowOff>163285</xdr:rowOff>
    </xdr:to>
    <xdr:sp macro="" textlink="">
      <xdr:nvSpPr>
        <xdr:cNvPr id="66" name="Balão de Fala: Retângulo 65">
          <a:extLst>
            <a:ext uri="{FF2B5EF4-FFF2-40B4-BE49-F238E27FC236}">
              <a16:creationId xmlns:a16="http://schemas.microsoft.com/office/drawing/2014/main" id="{7FBA4790-E565-0E2E-27FD-C05C0BC7B046}"/>
            </a:ext>
          </a:extLst>
        </xdr:cNvPr>
        <xdr:cNvSpPr/>
      </xdr:nvSpPr>
      <xdr:spPr>
        <a:xfrm>
          <a:off x="22601463" y="7102929"/>
          <a:ext cx="3429001" cy="1142999"/>
        </a:xfrm>
        <a:prstGeom prst="wedgeRectCallout">
          <a:avLst>
            <a:gd name="adj1" fmla="val 353"/>
            <a:gd name="adj2" fmla="val -167093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SAP não corrige o almoço automaticamente nos fins de semana, é necessário tratar o ponto quando se faz menos de 1h de almoço em dias assim.</a:t>
          </a:r>
        </a:p>
      </xdr:txBody>
    </xdr:sp>
    <xdr:clientData/>
  </xdr:twoCellAnchor>
  <xdr:twoCellAnchor>
    <xdr:from>
      <xdr:col>22</xdr:col>
      <xdr:colOff>285752</xdr:colOff>
      <xdr:row>26</xdr:row>
      <xdr:rowOff>108857</xdr:rowOff>
    </xdr:from>
    <xdr:to>
      <xdr:col>25</xdr:col>
      <xdr:colOff>2122715</xdr:colOff>
      <xdr:row>31</xdr:row>
      <xdr:rowOff>13608</xdr:rowOff>
    </xdr:to>
    <xdr:sp macro="" textlink="">
      <xdr:nvSpPr>
        <xdr:cNvPr id="67" name="Balão de Fala: Retângulo 66">
          <a:extLst>
            <a:ext uri="{FF2B5EF4-FFF2-40B4-BE49-F238E27FC236}">
              <a16:creationId xmlns:a16="http://schemas.microsoft.com/office/drawing/2014/main" id="{F218281A-69F5-E6EC-5F7B-110BB73F2A32}"/>
            </a:ext>
          </a:extLst>
        </xdr:cNvPr>
        <xdr:cNvSpPr/>
      </xdr:nvSpPr>
      <xdr:spPr>
        <a:xfrm>
          <a:off x="19471823" y="5878286"/>
          <a:ext cx="3905249" cy="925286"/>
        </a:xfrm>
        <a:prstGeom prst="wedgeRectCallout">
          <a:avLst>
            <a:gd name="adj1" fmla="val -3017"/>
            <a:gd name="adj2" fmla="val -92758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 soma dos tempos nas colunas de tratamento não pode superar o total de horas a tratar calculadas pela planilha em um dia trabalhado.</a:t>
          </a:r>
        </a:p>
      </xdr:txBody>
    </xdr:sp>
    <xdr:clientData/>
  </xdr:twoCellAnchor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B35FBE8C-3989-4CB9-8129-80E95552DB32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3F2BEB76-30FC-4818-B441-D1D5657EC9C4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FD8FBD76-4938-474E-B2AB-07DD6ED52A59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9C5D09E3-FADB-4096-928A-AAF371508452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176894</xdr:colOff>
      <xdr:row>45</xdr:row>
      <xdr:rowOff>95249</xdr:rowOff>
    </xdr:from>
    <xdr:to>
      <xdr:col>19</xdr:col>
      <xdr:colOff>408216</xdr:colOff>
      <xdr:row>49</xdr:row>
      <xdr:rowOff>40821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9B344B88-84D9-39CD-128A-25D04F0537C5}"/>
            </a:ext>
          </a:extLst>
        </xdr:cNvPr>
        <xdr:cNvSpPr/>
      </xdr:nvSpPr>
      <xdr:spPr>
        <a:xfrm>
          <a:off x="15144751" y="9688285"/>
          <a:ext cx="1918608" cy="707572"/>
        </a:xfrm>
        <a:prstGeom prst="wedgeRectCallout">
          <a:avLst>
            <a:gd name="adj1" fmla="val -6953"/>
            <a:gd name="adj2" fmla="val -191902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total do mês (de todos os créditos e débitos de horas).</a:t>
          </a:r>
        </a:p>
      </xdr:txBody>
    </xdr:sp>
    <xdr:clientData/>
  </xdr:twoCellAnchor>
  <xdr:twoCellAnchor>
    <xdr:from>
      <xdr:col>16</xdr:col>
      <xdr:colOff>748393</xdr:colOff>
      <xdr:row>32</xdr:row>
      <xdr:rowOff>272143</xdr:rowOff>
    </xdr:from>
    <xdr:to>
      <xdr:col>19</xdr:col>
      <xdr:colOff>503464</xdr:colOff>
      <xdr:row>40</xdr:row>
      <xdr:rowOff>68036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D192B7FF-F6E2-8F77-F7D6-168AC5CE28FE}"/>
            </a:ext>
          </a:extLst>
        </xdr:cNvPr>
        <xdr:cNvCxnSpPr/>
      </xdr:nvCxnSpPr>
      <xdr:spPr>
        <a:xfrm flipV="1">
          <a:off x="14872607" y="7266214"/>
          <a:ext cx="2286000" cy="14559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13</xdr:col>
      <xdr:colOff>136071</xdr:colOff>
      <xdr:row>39</xdr:row>
      <xdr:rowOff>176892</xdr:rowOff>
    </xdr:from>
    <xdr:to>
      <xdr:col>17</xdr:col>
      <xdr:colOff>204108</xdr:colOff>
      <xdr:row>44</xdr:row>
      <xdr:rowOff>54427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13B81B5F-0F18-6787-49FF-694CCBBB444A}"/>
            </a:ext>
          </a:extLst>
        </xdr:cNvPr>
        <xdr:cNvSpPr/>
      </xdr:nvSpPr>
      <xdr:spPr>
        <a:xfrm>
          <a:off x="11715750" y="8640535"/>
          <a:ext cx="3456215" cy="81642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Ao fim do mês, é esperado que todos os tempos estejam tratados, assim esses valores serão 00:00:00.</a:t>
          </a:r>
        </a:p>
      </xdr:txBody>
    </xdr:sp>
    <xdr:clientData/>
  </xdr:twoCellAnchor>
  <xdr:twoCellAnchor>
    <xdr:from>
      <xdr:col>8</xdr:col>
      <xdr:colOff>394607</xdr:colOff>
      <xdr:row>41</xdr:row>
      <xdr:rowOff>149679</xdr:rowOff>
    </xdr:from>
    <xdr:to>
      <xdr:col>11</xdr:col>
      <xdr:colOff>476251</xdr:colOff>
      <xdr:row>46</xdr:row>
      <xdr:rowOff>163286</xdr:rowOff>
    </xdr:to>
    <xdr:sp macro="" textlink="">
      <xdr:nvSpPr>
        <xdr:cNvPr id="30" name="Balão de Fala: Retângulo 29">
          <a:extLst>
            <a:ext uri="{FF2B5EF4-FFF2-40B4-BE49-F238E27FC236}">
              <a16:creationId xmlns:a16="http://schemas.microsoft.com/office/drawing/2014/main" id="{72FD016B-2109-C7E8-3043-43273CC5D35A}"/>
            </a:ext>
          </a:extLst>
        </xdr:cNvPr>
        <xdr:cNvSpPr/>
      </xdr:nvSpPr>
      <xdr:spPr>
        <a:xfrm>
          <a:off x="7756071" y="8994322"/>
          <a:ext cx="2612573" cy="952500"/>
        </a:xfrm>
        <a:prstGeom prst="wedgeRectCallout">
          <a:avLst>
            <a:gd name="adj1" fmla="val 67293"/>
            <a:gd name="adj2" fmla="val -1311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saber se já colocou CRE1 suficiente para compensar o CPHM do mês.</a:t>
          </a:r>
        </a:p>
      </xdr:txBody>
    </xdr:sp>
    <xdr:clientData/>
  </xdr:twoCellAnchor>
  <xdr:twoCellAnchor>
    <xdr:from>
      <xdr:col>11</xdr:col>
      <xdr:colOff>734787</xdr:colOff>
      <xdr:row>44</xdr:row>
      <xdr:rowOff>122464</xdr:rowOff>
    </xdr:from>
    <xdr:to>
      <xdr:col>16</xdr:col>
      <xdr:colOff>81646</xdr:colOff>
      <xdr:row>51</xdr:row>
      <xdr:rowOff>40822</xdr:rowOff>
    </xdr:to>
    <xdr:sp macro="" textlink="">
      <xdr:nvSpPr>
        <xdr:cNvPr id="31" name="Balão de Fala: Retângulo 30">
          <a:extLst>
            <a:ext uri="{FF2B5EF4-FFF2-40B4-BE49-F238E27FC236}">
              <a16:creationId xmlns:a16="http://schemas.microsoft.com/office/drawing/2014/main" id="{37E726C4-A899-8CC5-D16D-3D0411B38350}"/>
            </a:ext>
          </a:extLst>
        </xdr:cNvPr>
        <xdr:cNvSpPr/>
      </xdr:nvSpPr>
      <xdr:spPr>
        <a:xfrm>
          <a:off x="10627180" y="9525000"/>
          <a:ext cx="3578680" cy="1170215"/>
        </a:xfrm>
        <a:prstGeom prst="wedgeRectCallout">
          <a:avLst>
            <a:gd name="adj1" fmla="val 78563"/>
            <a:gd name="adj2" fmla="val -987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ter controle das horas positivas e negativas que possui enquanto preenche a planilha (durante o mês), pois haverá tempos tratados e não tratados simultaneamente.</a:t>
          </a:r>
        </a:p>
      </xdr:txBody>
    </xdr:sp>
    <xdr:clientData/>
  </xdr:twoCellAnchor>
  <xdr:twoCellAnchor>
    <xdr:from>
      <xdr:col>22</xdr:col>
      <xdr:colOff>816429</xdr:colOff>
      <xdr:row>36</xdr:row>
      <xdr:rowOff>149678</xdr:rowOff>
    </xdr:from>
    <xdr:to>
      <xdr:col>25</xdr:col>
      <xdr:colOff>54429</xdr:colOff>
      <xdr:row>44</xdr:row>
      <xdr:rowOff>68035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F12DF319-C0CA-17F4-A6EC-EE8AAA02A338}"/>
            </a:ext>
          </a:extLst>
        </xdr:cNvPr>
        <xdr:cNvCxnSpPr/>
      </xdr:nvCxnSpPr>
      <xdr:spPr>
        <a:xfrm flipH="1" flipV="1">
          <a:off x="20002500" y="8041821"/>
          <a:ext cx="1306286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666750</xdr:colOff>
      <xdr:row>40</xdr:row>
      <xdr:rowOff>122464</xdr:rowOff>
    </xdr:from>
    <xdr:to>
      <xdr:col>24</xdr:col>
      <xdr:colOff>258536</xdr:colOff>
      <xdr:row>44</xdr:row>
      <xdr:rowOff>176892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C36F0FD2-4D04-7607-AD5E-88D9868963A7}"/>
            </a:ext>
          </a:extLst>
        </xdr:cNvPr>
        <xdr:cNvCxnSpPr/>
      </xdr:nvCxnSpPr>
      <xdr:spPr>
        <a:xfrm flipH="1" flipV="1">
          <a:off x="18165536" y="8776607"/>
          <a:ext cx="2966357" cy="802821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653142</xdr:colOff>
      <xdr:row>36</xdr:row>
      <xdr:rowOff>68035</xdr:rowOff>
    </xdr:from>
    <xdr:to>
      <xdr:col>24</xdr:col>
      <xdr:colOff>312964</xdr:colOff>
      <xdr:row>44</xdr:row>
      <xdr:rowOff>108857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18B6E195-2841-2A41-A9EE-D381043CCA27}"/>
            </a:ext>
          </a:extLst>
        </xdr:cNvPr>
        <xdr:cNvCxnSpPr/>
      </xdr:nvCxnSpPr>
      <xdr:spPr>
        <a:xfrm flipH="1" flipV="1">
          <a:off x="16464642" y="7960178"/>
          <a:ext cx="4721679" cy="15512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24</xdr:col>
      <xdr:colOff>149679</xdr:colOff>
      <xdr:row>44</xdr:row>
      <xdr:rowOff>27213</xdr:rowOff>
    </xdr:from>
    <xdr:to>
      <xdr:col>25</xdr:col>
      <xdr:colOff>2993573</xdr:colOff>
      <xdr:row>47</xdr:row>
      <xdr:rowOff>40821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7BB6E7A-571D-49F6-1A25-09E2CB985431}"/>
            </a:ext>
          </a:extLst>
        </xdr:cNvPr>
        <xdr:cNvSpPr/>
      </xdr:nvSpPr>
      <xdr:spPr>
        <a:xfrm>
          <a:off x="21023036" y="9429749"/>
          <a:ext cx="3224894" cy="58510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Quando esses valores ficarem verdes, o saldo está positivo (tudo OK).</a:t>
          </a:r>
        </a:p>
      </xdr:txBody>
    </xdr:sp>
    <xdr:clientData/>
  </xdr:twoCellAnchor>
  <xdr:twoCellAnchor>
    <xdr:from>
      <xdr:col>16</xdr:col>
      <xdr:colOff>761998</xdr:colOff>
      <xdr:row>15</xdr:row>
      <xdr:rowOff>81644</xdr:rowOff>
    </xdr:from>
    <xdr:to>
      <xdr:col>18</xdr:col>
      <xdr:colOff>244926</xdr:colOff>
      <xdr:row>18</xdr:row>
      <xdr:rowOff>136073</xdr:rowOff>
    </xdr:to>
    <xdr:sp macro="" textlink="">
      <xdr:nvSpPr>
        <xdr:cNvPr id="32" name="Forma Livre: Forma 31">
          <a:extLst>
            <a:ext uri="{FF2B5EF4-FFF2-40B4-BE49-F238E27FC236}">
              <a16:creationId xmlns:a16="http://schemas.microsoft.com/office/drawing/2014/main" id="{9A054577-6139-4B5E-BB9A-5411A6CDF911}"/>
            </a:ext>
          </a:extLst>
        </xdr:cNvPr>
        <xdr:cNvSpPr/>
      </xdr:nvSpPr>
      <xdr:spPr>
        <a:xfrm rot="10800000">
          <a:off x="14886212" y="3605894"/>
          <a:ext cx="1170214" cy="666750"/>
        </a:xfrm>
        <a:custGeom>
          <a:avLst/>
          <a:gdLst>
            <a:gd name="connsiteX0" fmla="*/ 0 w 1850572"/>
            <a:gd name="connsiteY0" fmla="*/ 0 h 435429"/>
            <a:gd name="connsiteX1" fmla="*/ 340179 w 1850572"/>
            <a:gd name="connsiteY1" fmla="*/ 0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850572"/>
            <a:gd name="connsiteY0" fmla="*/ 0 h 435429"/>
            <a:gd name="connsiteX1" fmla="*/ 503464 w 1850572"/>
            <a:gd name="connsiteY1" fmla="*/ 13607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306286"/>
            <a:gd name="connsiteY0" fmla="*/ 0 h 381001"/>
            <a:gd name="connsiteX1" fmla="*/ 503464 w 1306286"/>
            <a:gd name="connsiteY1" fmla="*/ 13607 h 381001"/>
            <a:gd name="connsiteX2" fmla="*/ 1306286 w 1306286"/>
            <a:gd name="connsiteY2" fmla="*/ 381001 h 381001"/>
            <a:gd name="connsiteX3" fmla="*/ 0 w 1306286"/>
            <a:gd name="connsiteY3" fmla="*/ 0 h 381001"/>
            <a:gd name="connsiteX0" fmla="*/ 0 w 1306286"/>
            <a:gd name="connsiteY0" fmla="*/ 312965 h 693966"/>
            <a:gd name="connsiteX1" fmla="*/ 1142999 w 1306286"/>
            <a:gd name="connsiteY1" fmla="*/ 0 h 693966"/>
            <a:gd name="connsiteX2" fmla="*/ 1306286 w 1306286"/>
            <a:gd name="connsiteY2" fmla="*/ 693966 h 693966"/>
            <a:gd name="connsiteX3" fmla="*/ 0 w 1306286"/>
            <a:gd name="connsiteY3" fmla="*/ 312965 h 693966"/>
            <a:gd name="connsiteX0" fmla="*/ 0 w 884464"/>
            <a:gd name="connsiteY0" fmla="*/ 13607 h 693966"/>
            <a:gd name="connsiteX1" fmla="*/ 721177 w 884464"/>
            <a:gd name="connsiteY1" fmla="*/ 0 h 693966"/>
            <a:gd name="connsiteX2" fmla="*/ 884464 w 884464"/>
            <a:gd name="connsiteY2" fmla="*/ 693966 h 693966"/>
            <a:gd name="connsiteX3" fmla="*/ 0 w 884464"/>
            <a:gd name="connsiteY3" fmla="*/ 13607 h 693966"/>
            <a:gd name="connsiteX0" fmla="*/ 0 w 1102178"/>
            <a:gd name="connsiteY0" fmla="*/ 0 h 693967"/>
            <a:gd name="connsiteX1" fmla="*/ 938891 w 1102178"/>
            <a:gd name="connsiteY1" fmla="*/ 1 h 693967"/>
            <a:gd name="connsiteX2" fmla="*/ 1102178 w 1102178"/>
            <a:gd name="connsiteY2" fmla="*/ 693967 h 693967"/>
            <a:gd name="connsiteX3" fmla="*/ 0 w 1102178"/>
            <a:gd name="connsiteY3" fmla="*/ 0 h 693967"/>
            <a:gd name="connsiteX0" fmla="*/ 0 w 1102178"/>
            <a:gd name="connsiteY0" fmla="*/ 0 h 693967"/>
            <a:gd name="connsiteX1" fmla="*/ 736451 w 1102178"/>
            <a:gd name="connsiteY1" fmla="*/ 2 h 693967"/>
            <a:gd name="connsiteX2" fmla="*/ 1102178 w 1102178"/>
            <a:gd name="connsiteY2" fmla="*/ 693967 h 693967"/>
            <a:gd name="connsiteX3" fmla="*/ 0 w 1102178"/>
            <a:gd name="connsiteY3" fmla="*/ 0 h 6939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02178" h="693967">
              <a:moveTo>
                <a:pt x="0" y="0"/>
              </a:moveTo>
              <a:lnTo>
                <a:pt x="736451" y="2"/>
              </a:lnTo>
              <a:lnTo>
                <a:pt x="1102178" y="693967"/>
              </a:lnTo>
              <a:lnTo>
                <a:pt x="0" y="0"/>
              </a:lnTo>
              <a:close/>
            </a:path>
          </a:pathLst>
        </a:cu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pt-BR" sz="1400" kern="120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721178</xdr:colOff>
      <xdr:row>18</xdr:row>
      <xdr:rowOff>136075</xdr:rowOff>
    </xdr:from>
    <xdr:to>
      <xdr:col>20</xdr:col>
      <xdr:colOff>680356</xdr:colOff>
      <xdr:row>21</xdr:row>
      <xdr:rowOff>136074</xdr:rowOff>
    </xdr:to>
    <xdr:sp macro="" textlink="">
      <xdr:nvSpPr>
        <xdr:cNvPr id="33" name="Balão de Fala: Retângulo 32">
          <a:extLst>
            <a:ext uri="{FF2B5EF4-FFF2-40B4-BE49-F238E27FC236}">
              <a16:creationId xmlns:a16="http://schemas.microsoft.com/office/drawing/2014/main" id="{A7732E27-06EA-4991-8641-93C85626CC91}"/>
            </a:ext>
          </a:extLst>
        </xdr:cNvPr>
        <xdr:cNvSpPr/>
      </xdr:nvSpPr>
      <xdr:spPr>
        <a:xfrm>
          <a:off x="14845392" y="4272646"/>
          <a:ext cx="3333750" cy="612321"/>
        </a:xfrm>
        <a:prstGeom prst="wedgeRectCallout">
          <a:avLst>
            <a:gd name="adj1" fmla="val 35614"/>
            <a:gd name="adj2" fmla="val -148966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Os tratamentos de tempo aparecem em 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laranja (negativo) ou azul (positivo).</a:t>
          </a:r>
        </a:p>
      </xdr:txBody>
    </xdr:sp>
    <xdr:clientData/>
  </xdr:twoCellAnchor>
  <xdr:twoCellAnchor>
    <xdr:from>
      <xdr:col>21</xdr:col>
      <xdr:colOff>163283</xdr:colOff>
      <xdr:row>7</xdr:row>
      <xdr:rowOff>81642</xdr:rowOff>
    </xdr:from>
    <xdr:to>
      <xdr:col>24</xdr:col>
      <xdr:colOff>312962</xdr:colOff>
      <xdr:row>14</xdr:row>
      <xdr:rowOff>95251</xdr:rowOff>
    </xdr:to>
    <xdr:sp macro="" textlink="">
      <xdr:nvSpPr>
        <xdr:cNvPr id="34" name="Retângulo: Canto Dobrado 33">
          <a:extLst>
            <a:ext uri="{FF2B5EF4-FFF2-40B4-BE49-F238E27FC236}">
              <a16:creationId xmlns:a16="http://schemas.microsoft.com/office/drawing/2014/main" id="{07AE8C48-029A-4D59-8299-7B2096BBF29B}"/>
            </a:ext>
          </a:extLst>
        </xdr:cNvPr>
        <xdr:cNvSpPr/>
      </xdr:nvSpPr>
      <xdr:spPr>
        <a:xfrm>
          <a:off x="18505712" y="1973035"/>
          <a:ext cx="2680607" cy="1442359"/>
        </a:xfrm>
        <a:prstGeom prst="foldedCorner">
          <a:avLst>
            <a:gd name="adj" fmla="val 44449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Selecione a célula de origem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Clique Ctrl+C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Selecione a célula de destino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Clique Ctrl+V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Clique Ctrl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Clique V</a:t>
          </a:r>
        </a:p>
      </xdr:txBody>
    </xdr:sp>
    <xdr:clientData/>
  </xdr:twoCellAnchor>
  <xdr:twoCellAnchor>
    <xdr:from>
      <xdr:col>19</xdr:col>
      <xdr:colOff>707569</xdr:colOff>
      <xdr:row>8</xdr:row>
      <xdr:rowOff>176894</xdr:rowOff>
    </xdr:from>
    <xdr:to>
      <xdr:col>21</xdr:col>
      <xdr:colOff>299355</xdr:colOff>
      <xdr:row>14</xdr:row>
      <xdr:rowOff>108858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977D6701-6021-4208-84D4-107AB0759014}"/>
            </a:ext>
          </a:extLst>
        </xdr:cNvPr>
        <xdr:cNvCxnSpPr/>
      </xdr:nvCxnSpPr>
      <xdr:spPr>
        <a:xfrm flipH="1">
          <a:off x="17362712" y="2272394"/>
          <a:ext cx="1279072" cy="115660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462641</xdr:colOff>
      <xdr:row>10</xdr:row>
      <xdr:rowOff>176894</xdr:rowOff>
    </xdr:from>
    <xdr:to>
      <xdr:col>21</xdr:col>
      <xdr:colOff>312962</xdr:colOff>
      <xdr:row>14</xdr:row>
      <xdr:rowOff>81644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4535AFB-6300-4247-98BE-C53B5CC92964}"/>
            </a:ext>
          </a:extLst>
        </xdr:cNvPr>
        <xdr:cNvCxnSpPr/>
      </xdr:nvCxnSpPr>
      <xdr:spPr>
        <a:xfrm flipH="1">
          <a:off x="17961427" y="2680608"/>
          <a:ext cx="693964" cy="721179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17</xdr:col>
      <xdr:colOff>176891</xdr:colOff>
      <xdr:row>3</xdr:row>
      <xdr:rowOff>0</xdr:rowOff>
    </xdr:from>
    <xdr:to>
      <xdr:col>20</xdr:col>
      <xdr:colOff>666747</xdr:colOff>
      <xdr:row>6</xdr:row>
      <xdr:rowOff>108858</xdr:rowOff>
    </xdr:to>
    <xdr:sp macro="" textlink="">
      <xdr:nvSpPr>
        <xdr:cNvPr id="39" name="Balão de Fala: Retângulo 38">
          <a:extLst>
            <a:ext uri="{FF2B5EF4-FFF2-40B4-BE49-F238E27FC236}">
              <a16:creationId xmlns:a16="http://schemas.microsoft.com/office/drawing/2014/main" id="{4A548845-AEBA-44E5-A731-B473819326B5}"/>
            </a:ext>
          </a:extLst>
        </xdr:cNvPr>
        <xdr:cNvSpPr/>
      </xdr:nvSpPr>
      <xdr:spPr>
        <a:xfrm>
          <a:off x="15144748" y="1074964"/>
          <a:ext cx="3020785" cy="721180"/>
        </a:xfrm>
        <a:prstGeom prst="wedgeRectCallout">
          <a:avLst>
            <a:gd name="adj1" fmla="val 66555"/>
            <a:gd name="adj2" fmla="val 94575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DICA: para passar os valores da coluna não tratada para a coluna tratada, faça o seguinte:</a:t>
          </a:r>
        </a:p>
      </xdr:txBody>
    </xdr:sp>
    <xdr:clientData/>
  </xdr:twoCellAnchor>
  <xdr:twoCellAnchor>
    <xdr:from>
      <xdr:col>25</xdr:col>
      <xdr:colOff>136072</xdr:colOff>
      <xdr:row>18</xdr:row>
      <xdr:rowOff>122465</xdr:rowOff>
    </xdr:from>
    <xdr:to>
      <xdr:col>25</xdr:col>
      <xdr:colOff>1850571</xdr:colOff>
      <xdr:row>21</xdr:row>
      <xdr:rowOff>27215</xdr:rowOff>
    </xdr:to>
    <xdr:sp macro="" textlink="">
      <xdr:nvSpPr>
        <xdr:cNvPr id="21" name="Balão de Fala: Retângulo 20">
          <a:extLst>
            <a:ext uri="{FF2B5EF4-FFF2-40B4-BE49-F238E27FC236}">
              <a16:creationId xmlns:a16="http://schemas.microsoft.com/office/drawing/2014/main" id="{429AD25A-475E-71B9-284C-671039D31B36}"/>
            </a:ext>
          </a:extLst>
        </xdr:cNvPr>
        <xdr:cNvSpPr/>
      </xdr:nvSpPr>
      <xdr:spPr>
        <a:xfrm>
          <a:off x="21390429" y="4259036"/>
          <a:ext cx="1714499" cy="517072"/>
        </a:xfrm>
        <a:prstGeom prst="wedgeRectCallout">
          <a:avLst>
            <a:gd name="adj1" fmla="val -53095"/>
            <a:gd name="adj2" fmla="val 103371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Retirar marcação.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DC68C4-4FCB-489F-AE9E-9ABEB1AC3646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83AB0AE-9F6F-43A8-9DF6-B0BFE022719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16A31E2-1B2A-4F8C-ACAD-C7A1507B8CCB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771969-F69B-423C-A434-65061EA8329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348E6555-1205-404E-A756-7B3DA79BA3C8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3EB4F867-12CD-460D-B9DC-FC2A8DC8C893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5276BD51-DCBC-4EBA-91BE-37B73834F9CC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967E7723-5349-47E3-B088-C3E290CAC351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DFD38789-C517-4CD5-837C-5E83FC33BB47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88C974A8-6D25-45EE-AA05-62B25A69EA15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AE3B1EF-D9F5-48AC-A946-B3810789E91C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11A17E7A-9B80-4A14-A3BA-21BB924ADEA7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BD64E6F3-EFAB-4328-9B42-4E7D5550FCDE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EE274CF-E2F6-4F5A-8CCE-8F87536F501D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6BD9EB40-3C31-4A63-A394-F22DD20753EE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B1B93BE4-7CD5-4ADA-AF73-BA86710CC9C9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6222D10-755C-4EF1-9316-9726DEEB72AD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54562AD-BF0D-446D-82BC-9FBDDF0C9A20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5CB782F9-F988-47FB-97F6-703D0DB9C3E0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9A9FA367-E22A-4B1A-8504-93045DBF5430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E3B57D0-13B4-48C1-8020-6601FC4685C4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A28B67A-E634-420D-ABF9-D9C44A10D49A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F761FD6D-AE61-48FD-A943-041D015283D2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6D5AD85B-FBF1-4E93-8652-9290EF098C2B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2DFB80B5-E2C1-4AA2-8FB9-F7C588439727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E1BB289-9FD0-44D0-8E26-1A76C9E11AF6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E4F24C6B-9E20-4F3C-B008-D81291949A2F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D39EA5D-8EB8-4A9F-8887-EB508C8A5E14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B4FC1D99-1386-48F2-9A18-EE5CAA4BB123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1AD534B-AF66-4717-999E-D9C6A082CE0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39A7E6D3-6F97-4D5E-A4F8-4D854E5925F6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70683A2-4174-44F0-BF5C-C911677B0E79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500F935A-4340-4D99-907D-EF3FE38F7228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BB6FC6F-F2BF-4B94-9B46-E77CF9962566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5683EC4A-8FA5-4C2A-9091-30E1A9A8346F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4A0C1B9A-31BC-4C8F-8236-4BCC82AE2CD3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EC60E612-86A0-4408-B595-024C85D41912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10B75B5-10E9-4FA1-BCA5-DD685101F12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0260C1C5-0843-4E4C-A4ED-3F88FF70C3BC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5E4B5A41-2145-4221-BD62-6A3B3FFF2493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6C2A3E54-3496-4416-8ABA-2FF1B8DF2BCF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D7AC1CE8-F1B0-40BA-A6B6-FEFE4B97DFBC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1DD4341E-A341-4426-8458-C9A2EC15C708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2D8C5363-62E2-42D9-8653-A3FB41C506A5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EAFFA37-4BAC-482C-B4A1-A5F2023496EF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5A31E6F0-671E-4ADB-A558-D0A0E21E7475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765AF689-8C14-4472-A6F8-62BB77F0F375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EE4EDBB8-71EC-4DFF-8F56-EC574331847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8142B7B5-2112-42E8-9A81-4490084C3921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96CCC4B-98FE-4B9C-A32E-56977833261E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BAF773AB-E881-4834-BCA5-419F05753875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0FFCA3B-E569-4742-AB99-23F0605F6DFB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lendario" displayName="Calendario" ref="C12:E70" headerRowDxfId="547" dataDxfId="546" headerRowCellStyle="Normal" dataCellStyle="Normal">
  <autoFilter ref="C12:E70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IA" totalsRowLabel="Total" dataDxfId="545" totalsRowDxfId="544" dataCellStyle="Normal"/>
    <tableColumn id="2" xr3:uid="{00000000-0010-0000-0000-000002000000}" name="TIPO" dataDxfId="543" totalsRowDxfId="542" dataCellStyle="Normal"/>
    <tableColumn id="3" xr3:uid="{00000000-0010-0000-0000-000003000000}" name="DESCRIÇÃO" totalsRowFunction="count" dataDxfId="541" totalsRowDxfId="540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Legenda" displayName="Legenda" ref="O19:P25" totalsRowShown="0" headerRowDxfId="539" dataDxfId="537" headerRowBorderDxfId="538" tableBorderDxfId="536" totalsRowBorderDxfId="535">
  <autoFilter ref="O19:P25" xr:uid="{00000000-0009-0000-0100-000004000000}">
    <filterColumn colId="0" hiddenButton="1"/>
    <filterColumn colId="1" hiddenButton="1"/>
  </autoFilter>
  <tableColumns count="2">
    <tableColumn id="1" xr3:uid="{00000000-0010-0000-0100-000001000000}" name="COR" dataDxfId="534"/>
    <tableColumn id="2" xr3:uid="{00000000-0010-0000-0100-000002000000}" name="TIPO" dataDxfId="533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7"/>
  </sheetPr>
  <dimension ref="B1:R169"/>
  <sheetViews>
    <sheetView tabSelected="1" zoomScale="80" zoomScaleNormal="80" workbookViewId="0"/>
  </sheetViews>
  <sheetFormatPr defaultRowHeight="12" x14ac:dyDescent="0.2"/>
  <cols>
    <col min="1" max="1" width="4.7109375" style="4" customWidth="1"/>
    <col min="2" max="2" width="10.7109375" style="10" customWidth="1"/>
    <col min="3" max="3" width="13.5703125" style="11" customWidth="1"/>
    <col min="4" max="4" width="23.28515625" style="11" customWidth="1"/>
    <col min="5" max="5" width="79.5703125" style="11" customWidth="1"/>
    <col min="6" max="6" width="10.7109375" style="11" customWidth="1"/>
    <col min="7" max="7" width="4.7109375" style="11" customWidth="1"/>
    <col min="8" max="8" width="6.7109375" style="11" customWidth="1"/>
    <col min="9" max="9" width="12.28515625" style="11" customWidth="1"/>
    <col min="10" max="10" width="13.28515625" style="11" customWidth="1"/>
    <col min="11" max="11" width="65.5703125" style="11" customWidth="1"/>
    <col min="12" max="12" width="6.7109375" style="11" customWidth="1"/>
    <col min="13" max="13" width="4.7109375" style="11" customWidth="1"/>
    <col min="14" max="14" width="6.7109375" style="11" customWidth="1"/>
    <col min="15" max="15" width="17.28515625" style="11" customWidth="1"/>
    <col min="16" max="16" width="40.140625" style="11" bestFit="1" customWidth="1"/>
    <col min="17" max="17" width="6.7109375" style="11" customWidth="1"/>
    <col min="18" max="18" width="4.7109375" style="11" customWidth="1"/>
    <col min="19" max="16384" width="9.140625" style="4"/>
  </cols>
  <sheetData>
    <row r="1" spans="2:18" s="3" customFormat="1" ht="20.100000000000001" customHeight="1" x14ac:dyDescent="0.2">
      <c r="B1" s="6"/>
      <c r="C1" s="7"/>
      <c r="D1" s="7"/>
      <c r="E1" s="7"/>
      <c r="F1" s="7"/>
      <c r="G1" s="7"/>
      <c r="H1" s="7"/>
      <c r="I1" s="7"/>
      <c r="J1" s="7"/>
      <c r="K1" s="31"/>
      <c r="L1" s="7"/>
      <c r="M1" s="7"/>
      <c r="N1" s="7"/>
      <c r="O1" s="7"/>
      <c r="P1" s="7"/>
      <c r="Q1" s="7"/>
      <c r="R1" s="7"/>
    </row>
    <row r="2" spans="2:18" s="27" customFormat="1" ht="38.1" customHeight="1" thickBot="1" x14ac:dyDescent="0.5">
      <c r="B2" s="280" t="s">
        <v>157</v>
      </c>
      <c r="C2" s="280"/>
      <c r="D2" s="281" t="s">
        <v>156</v>
      </c>
      <c r="E2" s="281"/>
      <c r="F2" s="281"/>
      <c r="H2" s="264" t="s">
        <v>46</v>
      </c>
      <c r="I2" s="264"/>
      <c r="J2" s="265" t="s">
        <v>62</v>
      </c>
      <c r="K2" s="265"/>
      <c r="L2" s="265"/>
      <c r="N2" s="264" t="s">
        <v>63</v>
      </c>
      <c r="O2" s="264"/>
      <c r="P2" s="265" t="s">
        <v>64</v>
      </c>
      <c r="Q2" s="266"/>
    </row>
    <row r="3" spans="2:18" s="27" customFormat="1" ht="27.95" customHeight="1" x14ac:dyDescent="0.35">
      <c r="B3" s="318">
        <v>1</v>
      </c>
      <c r="C3" s="318"/>
      <c r="D3" s="281"/>
      <c r="E3" s="281"/>
      <c r="F3" s="281"/>
      <c r="H3" s="267">
        <f>$B$8+1</f>
        <v>3</v>
      </c>
      <c r="I3" s="267"/>
      <c r="J3" s="265"/>
      <c r="K3" s="265"/>
      <c r="L3" s="265"/>
      <c r="N3" s="267"/>
      <c r="O3" s="267"/>
      <c r="P3" s="266"/>
      <c r="Q3" s="266"/>
    </row>
    <row r="4" spans="2:18" s="27" customFormat="1" ht="27.95" customHeight="1" x14ac:dyDescent="0.35">
      <c r="B4" s="282"/>
      <c r="C4" s="282"/>
      <c r="D4" s="281"/>
      <c r="E4" s="281"/>
      <c r="F4" s="281"/>
      <c r="H4" s="279"/>
      <c r="I4" s="279"/>
      <c r="J4" s="265"/>
      <c r="K4" s="265"/>
      <c r="L4" s="265"/>
      <c r="N4" s="89"/>
      <c r="O4" s="89"/>
      <c r="P4" s="89"/>
      <c r="Q4" s="90"/>
    </row>
    <row r="5" spans="2:18" s="27" customFormat="1" ht="24.95" customHeight="1" x14ac:dyDescent="0.35">
      <c r="B5" s="6"/>
      <c r="C5" s="7"/>
      <c r="D5" s="7"/>
      <c r="E5" s="7"/>
      <c r="F5" s="7"/>
      <c r="H5" s="84"/>
      <c r="I5" s="84"/>
      <c r="J5" s="85"/>
      <c r="K5" s="85"/>
      <c r="L5" s="85"/>
      <c r="N5" s="92"/>
      <c r="O5" s="106" t="s">
        <v>59</v>
      </c>
      <c r="P5" s="105" t="s">
        <v>60</v>
      </c>
      <c r="Q5" s="89"/>
    </row>
    <row r="6" spans="2:18" s="27" customFormat="1" ht="18.95" customHeight="1" thickBot="1" x14ac:dyDescent="0.4">
      <c r="B6" s="283" t="s">
        <v>39</v>
      </c>
      <c r="C6" s="283"/>
      <c r="D6" s="286" t="s">
        <v>61</v>
      </c>
      <c r="E6" s="286"/>
      <c r="F6" s="286"/>
      <c r="G6" s="25"/>
      <c r="H6" s="84"/>
      <c r="I6" s="278" t="s">
        <v>48</v>
      </c>
      <c r="J6" s="278"/>
      <c r="K6" s="227" t="s">
        <v>51</v>
      </c>
      <c r="L6" s="85"/>
      <c r="M6" s="26"/>
      <c r="N6" s="91"/>
      <c r="O6" s="102" t="s">
        <v>11</v>
      </c>
      <c r="P6" s="104" t="s">
        <v>76</v>
      </c>
      <c r="Q6" s="89"/>
    </row>
    <row r="7" spans="2:18" s="27" customFormat="1" ht="18.95" customHeight="1" thickBot="1" x14ac:dyDescent="0.4">
      <c r="B7" s="283"/>
      <c r="C7" s="283"/>
      <c r="D7" s="286"/>
      <c r="E7" s="286"/>
      <c r="F7" s="286"/>
      <c r="G7" s="25"/>
      <c r="H7" s="85"/>
      <c r="I7" s="85"/>
      <c r="J7" s="85"/>
      <c r="K7" s="85"/>
      <c r="L7" s="85"/>
      <c r="N7" s="91"/>
      <c r="O7" s="103" t="s">
        <v>55</v>
      </c>
      <c r="P7" s="104" t="s">
        <v>81</v>
      </c>
      <c r="Q7" s="91"/>
    </row>
    <row r="8" spans="2:18" s="27" customFormat="1" ht="18.95" customHeight="1" x14ac:dyDescent="0.35">
      <c r="B8" s="284">
        <f>$B$3+1</f>
        <v>2</v>
      </c>
      <c r="C8" s="284"/>
      <c r="D8" s="286"/>
      <c r="E8" s="286"/>
      <c r="F8" s="286"/>
      <c r="G8" s="25"/>
      <c r="H8" s="85"/>
      <c r="I8" s="278" t="s">
        <v>49</v>
      </c>
      <c r="J8" s="278"/>
      <c r="K8" s="227" t="s">
        <v>52</v>
      </c>
      <c r="L8" s="85"/>
      <c r="N8" s="91"/>
      <c r="O8" s="103" t="s">
        <v>56</v>
      </c>
      <c r="P8" s="104" t="s">
        <v>58</v>
      </c>
      <c r="Q8" s="89"/>
    </row>
    <row r="9" spans="2:18" s="27" customFormat="1" ht="18.95" customHeight="1" x14ac:dyDescent="0.35">
      <c r="B9" s="285"/>
      <c r="C9" s="285"/>
      <c r="D9" s="286"/>
      <c r="E9" s="286"/>
      <c r="F9" s="286"/>
      <c r="G9" s="25"/>
      <c r="H9" s="84"/>
      <c r="I9" s="84"/>
      <c r="J9" s="85"/>
      <c r="K9" s="85"/>
      <c r="L9" s="85"/>
      <c r="N9" s="91"/>
      <c r="O9" s="103" t="s">
        <v>57</v>
      </c>
      <c r="P9" s="104" t="s">
        <v>12</v>
      </c>
      <c r="Q9" s="89"/>
    </row>
    <row r="10" spans="2:18" s="27" customFormat="1" ht="18.95" customHeight="1" x14ac:dyDescent="0.35">
      <c r="B10" s="285"/>
      <c r="C10" s="285"/>
      <c r="D10" s="286"/>
      <c r="E10" s="286"/>
      <c r="F10" s="286"/>
      <c r="G10" s="25"/>
      <c r="H10" s="84"/>
      <c r="I10" s="278" t="s">
        <v>47</v>
      </c>
      <c r="J10" s="278"/>
      <c r="K10" s="227" t="s">
        <v>53</v>
      </c>
      <c r="L10" s="85"/>
      <c r="N10" s="91"/>
      <c r="O10" s="102" t="s">
        <v>40</v>
      </c>
      <c r="P10" s="104" t="s">
        <v>13</v>
      </c>
      <c r="Q10" s="91"/>
    </row>
    <row r="11" spans="2:18" s="27" customFormat="1" ht="18.95" customHeight="1" x14ac:dyDescent="0.35">
      <c r="B11" s="195"/>
      <c r="C11" s="196"/>
      <c r="D11" s="196"/>
      <c r="E11" s="196"/>
      <c r="F11" s="198"/>
      <c r="G11" s="25"/>
      <c r="H11" s="84"/>
      <c r="I11" s="84"/>
      <c r="J11" s="85"/>
      <c r="K11" s="85"/>
      <c r="L11" s="85"/>
      <c r="N11" s="91"/>
      <c r="O11" s="102" t="s">
        <v>14</v>
      </c>
      <c r="P11" s="104" t="s">
        <v>15</v>
      </c>
      <c r="Q11" s="91"/>
    </row>
    <row r="12" spans="2:18" s="27" customFormat="1" ht="18.95" customHeight="1" x14ac:dyDescent="0.35">
      <c r="B12" s="195"/>
      <c r="C12" s="254" t="s">
        <v>21</v>
      </c>
      <c r="D12" s="254" t="s">
        <v>22</v>
      </c>
      <c r="E12" s="255" t="s">
        <v>38</v>
      </c>
      <c r="F12" s="197"/>
      <c r="G12" s="25"/>
      <c r="H12" s="84"/>
      <c r="I12" s="278" t="s">
        <v>50</v>
      </c>
      <c r="J12" s="278"/>
      <c r="K12" s="227" t="s">
        <v>54</v>
      </c>
      <c r="L12" s="85"/>
      <c r="N12" s="91"/>
      <c r="O12" s="102" t="s">
        <v>16</v>
      </c>
      <c r="P12" s="104" t="s">
        <v>77</v>
      </c>
      <c r="Q12" s="89"/>
    </row>
    <row r="13" spans="2:18" s="27" customFormat="1" ht="18.95" customHeight="1" x14ac:dyDescent="0.35">
      <c r="B13" s="195"/>
      <c r="C13" s="192">
        <v>44196</v>
      </c>
      <c r="D13" s="193" t="s">
        <v>23</v>
      </c>
      <c r="E13" s="194" t="s">
        <v>130</v>
      </c>
      <c r="F13" s="197"/>
      <c r="G13" s="25"/>
      <c r="H13" s="84"/>
      <c r="I13" s="84"/>
      <c r="J13" s="85"/>
      <c r="K13" s="85"/>
      <c r="L13" s="85"/>
      <c r="N13" s="91"/>
      <c r="O13" s="102" t="s">
        <v>41</v>
      </c>
      <c r="P13" s="104" t="s">
        <v>78</v>
      </c>
      <c r="Q13" s="89"/>
    </row>
    <row r="14" spans="2:18" s="27" customFormat="1" ht="18.95" customHeight="1" x14ac:dyDescent="0.35">
      <c r="B14" s="195"/>
      <c r="C14" s="192">
        <v>44201</v>
      </c>
      <c r="D14" s="193" t="s">
        <v>23</v>
      </c>
      <c r="E14" s="194" t="s">
        <v>136</v>
      </c>
      <c r="F14" s="197"/>
      <c r="G14" s="25"/>
      <c r="H14" s="84"/>
      <c r="I14" s="278" t="s">
        <v>31</v>
      </c>
      <c r="J14" s="278"/>
      <c r="K14" s="227" t="s">
        <v>32</v>
      </c>
      <c r="L14" s="85"/>
      <c r="N14" s="91"/>
      <c r="O14" s="102" t="s">
        <v>9</v>
      </c>
      <c r="P14" s="104" t="s">
        <v>17</v>
      </c>
      <c r="Q14" s="91"/>
    </row>
    <row r="15" spans="2:18" s="27" customFormat="1" ht="18.95" customHeight="1" x14ac:dyDescent="0.35">
      <c r="B15" s="195"/>
      <c r="C15" s="192">
        <v>44257</v>
      </c>
      <c r="D15" s="193" t="s">
        <v>24</v>
      </c>
      <c r="E15" s="194" t="s">
        <v>137</v>
      </c>
      <c r="F15" s="197"/>
      <c r="G15" s="25"/>
      <c r="H15" s="84"/>
      <c r="I15" s="84"/>
      <c r="J15" s="85"/>
      <c r="K15" s="85"/>
      <c r="L15" s="85"/>
      <c r="N15" s="91"/>
      <c r="O15" s="102" t="s">
        <v>18</v>
      </c>
      <c r="P15" s="104" t="s">
        <v>79</v>
      </c>
      <c r="Q15" s="91"/>
    </row>
    <row r="16" spans="2:18" s="27" customFormat="1" ht="18.95" customHeight="1" x14ac:dyDescent="0.35">
      <c r="B16" s="195"/>
      <c r="C16" s="192">
        <v>44258</v>
      </c>
      <c r="D16" s="193" t="s">
        <v>23</v>
      </c>
      <c r="E16" s="194" t="s">
        <v>138</v>
      </c>
      <c r="F16" s="197"/>
      <c r="G16" s="25"/>
      <c r="H16" s="84"/>
      <c r="I16" s="278" t="s">
        <v>29</v>
      </c>
      <c r="J16" s="278"/>
      <c r="K16" s="100">
        <f>IF($C$13&lt;&gt;"",YEAR($C$13),"(Inserir data na primeira linha do Calendário)")</f>
        <v>2025</v>
      </c>
      <c r="L16" s="85"/>
      <c r="N16" s="91"/>
      <c r="O16" s="102" t="s">
        <v>43</v>
      </c>
      <c r="P16" s="104" t="s">
        <v>45</v>
      </c>
      <c r="Q16" s="91"/>
    </row>
    <row r="17" spans="2:18" s="27" customFormat="1" ht="18.95" customHeight="1" x14ac:dyDescent="0.35">
      <c r="B17" s="195"/>
      <c r="C17" s="192">
        <v>44259</v>
      </c>
      <c r="D17" s="193" t="s">
        <v>25</v>
      </c>
      <c r="E17" s="194" t="s">
        <v>139</v>
      </c>
      <c r="F17" s="197"/>
      <c r="G17" s="25"/>
      <c r="H17" s="84"/>
      <c r="I17" s="84"/>
      <c r="J17" s="86"/>
      <c r="K17" s="85"/>
      <c r="L17" s="85"/>
      <c r="N17" s="91"/>
      <c r="O17" s="102" t="s">
        <v>44</v>
      </c>
      <c r="P17" s="104" t="s">
        <v>80</v>
      </c>
      <c r="Q17" s="89"/>
    </row>
    <row r="18" spans="2:18" s="27" customFormat="1" ht="18.95" customHeight="1" thickBot="1" x14ac:dyDescent="0.4">
      <c r="B18" s="195"/>
      <c r="C18" s="192">
        <v>44303</v>
      </c>
      <c r="D18" s="193" t="s">
        <v>23</v>
      </c>
      <c r="E18" s="194" t="s">
        <v>140</v>
      </c>
      <c r="F18" s="197"/>
      <c r="G18" s="25"/>
      <c r="H18" s="88"/>
      <c r="I18" s="278" t="s">
        <v>26</v>
      </c>
      <c r="J18" s="278"/>
      <c r="K18" s="99">
        <f>"8:00"*COUNTIF(Calendario[TIPO],"COMPENSADO")+"3:30"*COUNTIF(Calendario[TIPO],"1/2 COMPENSADO")</f>
        <v>2.1041666666666665</v>
      </c>
      <c r="L18" s="87"/>
      <c r="N18" s="124"/>
      <c r="O18" s="124"/>
      <c r="P18" s="113"/>
      <c r="Q18" s="89"/>
    </row>
    <row r="19" spans="2:18" s="3" customFormat="1" ht="18.95" customHeight="1" x14ac:dyDescent="0.3">
      <c r="B19" s="195"/>
      <c r="C19" s="192">
        <v>44306</v>
      </c>
      <c r="D19" s="193" t="s">
        <v>23</v>
      </c>
      <c r="E19" s="194" t="s">
        <v>141</v>
      </c>
      <c r="F19" s="197"/>
      <c r="G19" s="7"/>
      <c r="H19" s="87"/>
      <c r="I19" s="114" t="s">
        <v>27</v>
      </c>
      <c r="J19" s="115"/>
      <c r="K19" s="101"/>
      <c r="L19" s="87"/>
      <c r="N19" s="91"/>
      <c r="O19" s="111" t="s">
        <v>28</v>
      </c>
      <c r="P19" s="112" t="s">
        <v>22</v>
      </c>
      <c r="Q19" s="89"/>
    </row>
    <row r="20" spans="2:18" s="3" customFormat="1" ht="18.95" customHeight="1" x14ac:dyDescent="0.3">
      <c r="B20" s="195"/>
      <c r="C20" s="192">
        <v>44307</v>
      </c>
      <c r="D20" s="193" t="s">
        <v>20</v>
      </c>
      <c r="E20" s="194" t="s">
        <v>142</v>
      </c>
      <c r="F20" s="197"/>
      <c r="G20" s="7"/>
      <c r="H20" s="87"/>
      <c r="I20" s="87"/>
      <c r="J20" s="87"/>
      <c r="K20" s="87"/>
      <c r="L20" s="87"/>
      <c r="N20" s="91"/>
      <c r="O20" s="94"/>
      <c r="P20" s="107" t="s">
        <v>23</v>
      </c>
      <c r="Q20" s="89"/>
    </row>
    <row r="21" spans="2:18" s="3" customFormat="1" ht="18.95" customHeight="1" x14ac:dyDescent="0.3">
      <c r="B21" s="195"/>
      <c r="C21" s="192">
        <v>44308</v>
      </c>
      <c r="D21" s="193" t="s">
        <v>23</v>
      </c>
      <c r="E21" s="194" t="s">
        <v>143</v>
      </c>
      <c r="F21" s="197"/>
      <c r="G21" s="7"/>
      <c r="H21" s="28"/>
      <c r="I21" s="28"/>
      <c r="J21" s="28"/>
      <c r="K21" s="28"/>
      <c r="L21" s="28"/>
      <c r="N21" s="91"/>
      <c r="O21" s="95"/>
      <c r="P21" s="107" t="s">
        <v>24</v>
      </c>
      <c r="Q21" s="89"/>
    </row>
    <row r="22" spans="2:18" s="3" customFormat="1" ht="18.95" customHeight="1" x14ac:dyDescent="0.3">
      <c r="B22" s="195"/>
      <c r="C22" s="192">
        <v>44316</v>
      </c>
      <c r="D22" s="193" t="s">
        <v>23</v>
      </c>
      <c r="E22" s="194" t="s">
        <v>144</v>
      </c>
      <c r="F22" s="197"/>
      <c r="G22" s="7"/>
      <c r="H22" s="274" t="s">
        <v>65</v>
      </c>
      <c r="I22" s="274"/>
      <c r="J22" s="274"/>
      <c r="K22" s="277" t="s">
        <v>122</v>
      </c>
      <c r="L22" s="277"/>
      <c r="N22" s="91"/>
      <c r="O22" s="259"/>
      <c r="P22" s="260" t="s">
        <v>135</v>
      </c>
      <c r="Q22" s="89"/>
    </row>
    <row r="23" spans="2:18" s="3" customFormat="1" ht="18.95" customHeight="1" thickBot="1" x14ac:dyDescent="0.35">
      <c r="B23" s="195"/>
      <c r="C23" s="192">
        <v>44317</v>
      </c>
      <c r="D23" s="193" t="s">
        <v>20</v>
      </c>
      <c r="E23" s="194" t="s">
        <v>142</v>
      </c>
      <c r="F23" s="197"/>
      <c r="G23" s="7"/>
      <c r="H23" s="275"/>
      <c r="I23" s="275"/>
      <c r="J23" s="275"/>
      <c r="K23" s="277"/>
      <c r="L23" s="277"/>
      <c r="N23" s="91"/>
      <c r="O23" s="96"/>
      <c r="P23" s="108" t="s">
        <v>25</v>
      </c>
      <c r="Q23" s="91"/>
    </row>
    <row r="24" spans="2:18" s="3" customFormat="1" ht="18.95" customHeight="1" x14ac:dyDescent="0.3">
      <c r="B24" s="195"/>
      <c r="C24" s="192">
        <v>44365</v>
      </c>
      <c r="D24" s="193" t="s">
        <v>23</v>
      </c>
      <c r="E24" s="194" t="s">
        <v>145</v>
      </c>
      <c r="F24" s="197"/>
      <c r="G24" s="7"/>
      <c r="H24" s="276">
        <f>$H$3+1</f>
        <v>4</v>
      </c>
      <c r="I24" s="276"/>
      <c r="J24" s="276"/>
      <c r="K24" s="277"/>
      <c r="L24" s="277"/>
      <c r="N24" s="91"/>
      <c r="O24" s="97"/>
      <c r="P24" s="109" t="s">
        <v>20</v>
      </c>
      <c r="Q24" s="91"/>
    </row>
    <row r="25" spans="2:18" s="3" customFormat="1" ht="18.95" customHeight="1" x14ac:dyDescent="0.3">
      <c r="B25" s="198"/>
      <c r="C25" s="192">
        <v>44366</v>
      </c>
      <c r="D25" s="193" t="s">
        <v>20</v>
      </c>
      <c r="E25" s="194" t="s">
        <v>142</v>
      </c>
      <c r="F25" s="198"/>
      <c r="G25" s="7"/>
      <c r="H25" s="276"/>
      <c r="I25" s="276"/>
      <c r="J25" s="276"/>
      <c r="K25" s="277"/>
      <c r="L25" s="277"/>
      <c r="N25" s="91"/>
      <c r="O25" s="98"/>
      <c r="P25" s="110" t="s">
        <v>33</v>
      </c>
      <c r="Q25" s="91"/>
      <c r="R25" s="7"/>
    </row>
    <row r="26" spans="2:18" s="3" customFormat="1" ht="18.95" customHeight="1" x14ac:dyDescent="0.35">
      <c r="B26" s="198"/>
      <c r="C26" s="192">
        <v>44445</v>
      </c>
      <c r="D26" s="193" t="s">
        <v>23</v>
      </c>
      <c r="E26" s="194" t="s">
        <v>146</v>
      </c>
      <c r="F26" s="198"/>
      <c r="G26" s="7"/>
      <c r="H26" s="276"/>
      <c r="I26" s="276"/>
      <c r="J26" s="276"/>
      <c r="K26" s="277"/>
      <c r="L26" s="277"/>
      <c r="M26" s="26"/>
      <c r="N26" s="91"/>
      <c r="O26" s="91"/>
      <c r="P26" s="91"/>
      <c r="Q26" s="91"/>
      <c r="R26" s="7"/>
    </row>
    <row r="27" spans="2:18" s="3" customFormat="1" ht="18.95" customHeight="1" x14ac:dyDescent="0.3">
      <c r="B27" s="198"/>
      <c r="C27" s="192">
        <v>44480</v>
      </c>
      <c r="D27" s="193" t="s">
        <v>23</v>
      </c>
      <c r="E27" s="194" t="s">
        <v>147</v>
      </c>
      <c r="F27" s="198"/>
      <c r="G27" s="7"/>
      <c r="H27" s="121"/>
      <c r="I27" s="287"/>
      <c r="J27" s="287"/>
      <c r="K27" s="287"/>
      <c r="L27" s="121"/>
      <c r="N27" s="257"/>
      <c r="O27" s="257"/>
      <c r="P27" s="258"/>
      <c r="Q27" s="257"/>
      <c r="R27" s="7"/>
    </row>
    <row r="28" spans="2:18" s="3" customFormat="1" ht="18.95" customHeight="1" x14ac:dyDescent="0.3">
      <c r="B28" s="198"/>
      <c r="C28" s="192">
        <v>44501</v>
      </c>
      <c r="D28" s="193" t="s">
        <v>23</v>
      </c>
      <c r="E28" s="194" t="s">
        <v>148</v>
      </c>
      <c r="F28" s="198"/>
      <c r="G28" s="7"/>
      <c r="H28" s="121"/>
      <c r="I28" s="263" t="s">
        <v>73</v>
      </c>
      <c r="J28" s="263"/>
      <c r="K28" s="263"/>
      <c r="L28" s="121"/>
      <c r="N28" s="268" t="s">
        <v>85</v>
      </c>
      <c r="O28" s="268"/>
      <c r="P28" s="265"/>
      <c r="Q28" s="265"/>
      <c r="R28" s="7"/>
    </row>
    <row r="29" spans="2:18" s="3" customFormat="1" ht="18.95" customHeight="1" thickBot="1" x14ac:dyDescent="0.35">
      <c r="B29" s="198"/>
      <c r="C29" s="192">
        <v>44514</v>
      </c>
      <c r="D29" s="193" t="s">
        <v>23</v>
      </c>
      <c r="E29" s="194" t="s">
        <v>149</v>
      </c>
      <c r="F29" s="198"/>
      <c r="G29" s="7"/>
      <c r="H29" s="121"/>
      <c r="I29" s="271" t="s">
        <v>74</v>
      </c>
      <c r="J29" s="271"/>
      <c r="K29" s="271"/>
      <c r="L29" s="121"/>
      <c r="N29" s="264"/>
      <c r="O29" s="264"/>
      <c r="P29" s="265"/>
      <c r="Q29" s="265"/>
      <c r="R29" s="7"/>
    </row>
    <row r="30" spans="2:18" s="3" customFormat="1" ht="18.95" customHeight="1" x14ac:dyDescent="0.3">
      <c r="B30" s="198"/>
      <c r="C30" s="192">
        <v>44519</v>
      </c>
      <c r="D30" s="193" t="s">
        <v>23</v>
      </c>
      <c r="E30" s="194" t="s">
        <v>150</v>
      </c>
      <c r="F30" s="198"/>
      <c r="G30" s="7"/>
      <c r="H30" s="121"/>
      <c r="I30" s="273"/>
      <c r="J30" s="273"/>
      <c r="K30" s="273"/>
      <c r="L30" s="121"/>
      <c r="M30" s="7"/>
      <c r="N30" s="269"/>
      <c r="O30" s="269"/>
      <c r="P30" s="265"/>
      <c r="Q30" s="265"/>
      <c r="R30" s="7"/>
    </row>
    <row r="31" spans="2:18" s="3" customFormat="1" ht="18.95" customHeight="1" x14ac:dyDescent="0.3">
      <c r="B31" s="198"/>
      <c r="C31" s="192">
        <v>44520</v>
      </c>
      <c r="D31" s="193" t="s">
        <v>20</v>
      </c>
      <c r="E31" s="194" t="s">
        <v>142</v>
      </c>
      <c r="F31" s="198"/>
      <c r="G31" s="7"/>
      <c r="H31" s="121"/>
      <c r="I31" s="263" t="s">
        <v>71</v>
      </c>
      <c r="J31" s="263"/>
      <c r="K31" s="263"/>
      <c r="L31" s="121"/>
      <c r="N31" s="118"/>
      <c r="O31" s="118"/>
      <c r="P31" s="119"/>
      <c r="Q31" s="119"/>
      <c r="R31" s="7"/>
    </row>
    <row r="32" spans="2:18" s="3" customFormat="1" ht="18.95" customHeight="1" x14ac:dyDescent="0.3">
      <c r="B32" s="198"/>
      <c r="C32" s="192">
        <v>44537</v>
      </c>
      <c r="D32" s="193" t="s">
        <v>23</v>
      </c>
      <c r="E32" s="194" t="s">
        <v>151</v>
      </c>
      <c r="F32" s="198"/>
      <c r="G32" s="7"/>
      <c r="H32" s="121"/>
      <c r="I32" s="271" t="s">
        <v>72</v>
      </c>
      <c r="J32" s="271"/>
      <c r="K32" s="271"/>
      <c r="L32" s="121"/>
      <c r="N32" s="118"/>
      <c r="O32" s="270" t="s">
        <v>32</v>
      </c>
      <c r="P32" s="270"/>
      <c r="Q32" s="119"/>
      <c r="R32" s="7"/>
    </row>
    <row r="33" spans="2:18" s="3" customFormat="1" ht="18.95" customHeight="1" x14ac:dyDescent="0.35">
      <c r="B33" s="195"/>
      <c r="C33" s="192">
        <v>44553</v>
      </c>
      <c r="D33" s="193" t="s">
        <v>25</v>
      </c>
      <c r="E33" s="194" t="s">
        <v>152</v>
      </c>
      <c r="F33" s="196"/>
      <c r="G33" s="7"/>
      <c r="H33" s="121"/>
      <c r="I33" s="122"/>
      <c r="J33" s="122"/>
      <c r="K33" s="122"/>
      <c r="L33" s="121"/>
      <c r="M33" s="7"/>
      <c r="N33" s="116"/>
      <c r="O33" s="126" t="s">
        <v>92</v>
      </c>
      <c r="P33" s="104" t="s">
        <v>93</v>
      </c>
      <c r="Q33" s="116"/>
      <c r="R33" s="7"/>
    </row>
    <row r="34" spans="2:18" s="3" customFormat="1" ht="18.95" customHeight="1" x14ac:dyDescent="0.3">
      <c r="B34" s="195"/>
      <c r="C34" s="192">
        <v>44554</v>
      </c>
      <c r="D34" s="193" t="s">
        <v>23</v>
      </c>
      <c r="E34" s="194" t="s">
        <v>153</v>
      </c>
      <c r="F34" s="196"/>
      <c r="G34" s="7"/>
      <c r="H34" s="121"/>
      <c r="I34" s="263" t="s">
        <v>75</v>
      </c>
      <c r="J34" s="263"/>
      <c r="K34" s="263"/>
      <c r="L34" s="121"/>
      <c r="M34" s="7"/>
      <c r="N34" s="116"/>
      <c r="O34" s="123"/>
      <c r="P34" s="125"/>
      <c r="Q34" s="116"/>
      <c r="R34" s="7"/>
    </row>
    <row r="35" spans="2:18" s="3" customFormat="1" ht="18.95" customHeight="1" x14ac:dyDescent="0.35">
      <c r="B35" s="195"/>
      <c r="C35" s="192">
        <v>44555</v>
      </c>
      <c r="D35" s="193" t="s">
        <v>20</v>
      </c>
      <c r="E35" s="194" t="s">
        <v>142</v>
      </c>
      <c r="F35" s="196"/>
      <c r="G35" s="7"/>
      <c r="H35" s="121"/>
      <c r="I35" s="263"/>
      <c r="J35" s="263"/>
      <c r="K35" s="263"/>
      <c r="L35" s="121"/>
      <c r="M35" s="24"/>
      <c r="N35" s="127"/>
      <c r="O35" s="270" t="s">
        <v>95</v>
      </c>
      <c r="P35" s="270"/>
      <c r="Q35" s="116"/>
      <c r="R35" s="30"/>
    </row>
    <row r="36" spans="2:18" s="3" customFormat="1" ht="18.95" customHeight="1" x14ac:dyDescent="0.35">
      <c r="B36" s="195"/>
      <c r="C36" s="192">
        <v>44560</v>
      </c>
      <c r="D36" s="193" t="s">
        <v>25</v>
      </c>
      <c r="E36" s="194" t="s">
        <v>152</v>
      </c>
      <c r="F36" s="196"/>
      <c r="G36" s="7"/>
      <c r="H36" s="121"/>
      <c r="I36" s="271" t="s">
        <v>83</v>
      </c>
      <c r="J36" s="271"/>
      <c r="K36" s="271"/>
      <c r="L36" s="121"/>
      <c r="N36" s="87"/>
      <c r="O36" s="126" t="s">
        <v>98</v>
      </c>
      <c r="P36" s="104" t="s">
        <v>96</v>
      </c>
      <c r="Q36" s="87"/>
      <c r="R36" s="7"/>
    </row>
    <row r="37" spans="2:18" s="3" customFormat="1" ht="18.95" customHeight="1" x14ac:dyDescent="0.35">
      <c r="B37" s="195"/>
      <c r="C37" s="192"/>
      <c r="D37" s="193"/>
      <c r="E37" s="194"/>
      <c r="F37" s="196"/>
      <c r="G37" s="7"/>
      <c r="H37" s="121"/>
      <c r="I37" s="271"/>
      <c r="J37" s="271"/>
      <c r="K37" s="271"/>
      <c r="L37" s="121"/>
      <c r="M37" s="7"/>
      <c r="N37" s="87"/>
      <c r="O37" s="126" t="s">
        <v>99</v>
      </c>
      <c r="P37" s="104" t="s">
        <v>97</v>
      </c>
      <c r="Q37" s="87"/>
      <c r="R37" s="7"/>
    </row>
    <row r="38" spans="2:18" s="3" customFormat="1" ht="18.95" customHeight="1" x14ac:dyDescent="0.3">
      <c r="B38" s="195"/>
      <c r="C38" s="192"/>
      <c r="D38" s="193"/>
      <c r="E38" s="194"/>
      <c r="F38" s="196"/>
      <c r="G38" s="7"/>
      <c r="H38" s="121"/>
      <c r="I38" s="271"/>
      <c r="J38" s="271"/>
      <c r="K38" s="271"/>
      <c r="L38" s="121"/>
      <c r="M38" s="7"/>
      <c r="N38" s="87"/>
      <c r="O38" s="87"/>
      <c r="P38" s="87"/>
      <c r="Q38" s="87"/>
      <c r="R38" s="7"/>
    </row>
    <row r="39" spans="2:18" s="3" customFormat="1" ht="18.95" customHeight="1" x14ac:dyDescent="0.3">
      <c r="B39" s="195"/>
      <c r="C39" s="192"/>
      <c r="D39" s="193"/>
      <c r="E39" s="194"/>
      <c r="F39" s="196"/>
      <c r="G39" s="7"/>
      <c r="H39" s="121"/>
      <c r="I39" s="273"/>
      <c r="J39" s="273"/>
      <c r="K39" s="273"/>
      <c r="L39" s="121"/>
      <c r="M39" s="7"/>
      <c r="N39" s="7"/>
      <c r="O39" s="7"/>
      <c r="P39" s="7"/>
      <c r="Q39" s="7"/>
      <c r="R39" s="7"/>
    </row>
    <row r="40" spans="2:18" s="3" customFormat="1" ht="18.95" customHeight="1" x14ac:dyDescent="0.3">
      <c r="B40" s="195"/>
      <c r="C40" s="192"/>
      <c r="D40" s="193"/>
      <c r="E40" s="194"/>
      <c r="F40" s="196"/>
      <c r="G40" s="7"/>
      <c r="H40" s="121"/>
      <c r="I40" s="263" t="s">
        <v>131</v>
      </c>
      <c r="J40" s="263"/>
      <c r="K40" s="263"/>
      <c r="L40" s="121"/>
      <c r="M40" s="14"/>
      <c r="N40" s="268" t="s">
        <v>66</v>
      </c>
      <c r="O40" s="268"/>
      <c r="P40" s="265"/>
      <c r="Q40" s="265"/>
      <c r="R40" s="7"/>
    </row>
    <row r="41" spans="2:18" s="3" customFormat="1" ht="18.95" customHeight="1" thickBot="1" x14ac:dyDescent="0.35">
      <c r="B41" s="195"/>
      <c r="C41" s="192"/>
      <c r="D41" s="193"/>
      <c r="E41" s="194"/>
      <c r="F41" s="196"/>
      <c r="G41" s="7"/>
      <c r="H41" s="121"/>
      <c r="I41" s="263"/>
      <c r="J41" s="263"/>
      <c r="K41" s="263"/>
      <c r="L41" s="121"/>
      <c r="M41" s="14"/>
      <c r="N41" s="264"/>
      <c r="O41" s="264"/>
      <c r="P41" s="265"/>
      <c r="Q41" s="265"/>
      <c r="R41" s="7"/>
    </row>
    <row r="42" spans="2:18" s="3" customFormat="1" ht="18.95" customHeight="1" x14ac:dyDescent="0.3">
      <c r="B42" s="195"/>
      <c r="C42" s="192"/>
      <c r="D42" s="193"/>
      <c r="E42" s="194"/>
      <c r="F42" s="196"/>
      <c r="G42" s="7"/>
      <c r="H42" s="121"/>
      <c r="I42" s="263"/>
      <c r="J42" s="263"/>
      <c r="K42" s="263"/>
      <c r="L42" s="121"/>
      <c r="M42" s="14"/>
      <c r="N42" s="269"/>
      <c r="O42" s="269"/>
      <c r="P42" s="265"/>
      <c r="Q42" s="265"/>
      <c r="R42" s="7"/>
    </row>
    <row r="43" spans="2:18" s="3" customFormat="1" ht="18.95" customHeight="1" x14ac:dyDescent="0.3">
      <c r="B43" s="195"/>
      <c r="C43" s="192"/>
      <c r="D43" s="193"/>
      <c r="E43" s="194"/>
      <c r="F43" s="196"/>
      <c r="G43" s="7"/>
      <c r="H43" s="121"/>
      <c r="I43" s="271" t="s">
        <v>132</v>
      </c>
      <c r="J43" s="271"/>
      <c r="K43" s="271"/>
      <c r="L43" s="121"/>
      <c r="M43" s="14"/>
      <c r="N43" s="118"/>
      <c r="O43" s="118"/>
      <c r="P43" s="119"/>
      <c r="Q43" s="119"/>
      <c r="R43" s="7"/>
    </row>
    <row r="44" spans="2:18" s="3" customFormat="1" ht="18.95" customHeight="1" x14ac:dyDescent="0.3">
      <c r="B44" s="195"/>
      <c r="C44" s="192"/>
      <c r="D44" s="193"/>
      <c r="E44" s="194"/>
      <c r="F44" s="196"/>
      <c r="G44" s="7"/>
      <c r="H44" s="121"/>
      <c r="I44" s="263"/>
      <c r="J44" s="263"/>
      <c r="K44" s="263"/>
      <c r="L44" s="121"/>
      <c r="M44" s="14"/>
      <c r="N44" s="118"/>
      <c r="O44" s="272" t="s">
        <v>94</v>
      </c>
      <c r="P44" s="272"/>
      <c r="Q44" s="119"/>
      <c r="R44" s="7"/>
    </row>
    <row r="45" spans="2:18" s="3" customFormat="1" ht="18.95" customHeight="1" x14ac:dyDescent="0.3">
      <c r="B45" s="195"/>
      <c r="C45" s="192"/>
      <c r="D45" s="193"/>
      <c r="E45" s="194"/>
      <c r="F45" s="196"/>
      <c r="G45" s="7"/>
      <c r="H45" s="121"/>
      <c r="I45" s="263" t="s">
        <v>133</v>
      </c>
      <c r="J45" s="263"/>
      <c r="K45" s="263"/>
      <c r="L45" s="121"/>
      <c r="M45" s="14"/>
      <c r="N45" s="116"/>
      <c r="O45" s="272"/>
      <c r="P45" s="272"/>
      <c r="Q45" s="116"/>
      <c r="R45" s="7"/>
    </row>
    <row r="46" spans="2:18" s="3" customFormat="1" ht="18.95" customHeight="1" x14ac:dyDescent="0.3">
      <c r="B46" s="195"/>
      <c r="C46" s="192"/>
      <c r="D46" s="193"/>
      <c r="E46" s="194"/>
      <c r="F46" s="196"/>
      <c r="G46" s="7"/>
      <c r="H46" s="121"/>
      <c r="I46" s="263"/>
      <c r="J46" s="263"/>
      <c r="K46" s="263"/>
      <c r="L46" s="121"/>
      <c r="M46" s="14"/>
      <c r="N46" s="116"/>
      <c r="O46" s="272"/>
      <c r="P46" s="272"/>
      <c r="Q46" s="116"/>
      <c r="R46" s="7"/>
    </row>
    <row r="47" spans="2:18" s="3" customFormat="1" ht="18.95" customHeight="1" x14ac:dyDescent="0.3">
      <c r="B47" s="195"/>
      <c r="C47" s="192"/>
      <c r="D47" s="193"/>
      <c r="E47" s="194"/>
      <c r="F47" s="196"/>
      <c r="G47" s="7"/>
      <c r="H47" s="121"/>
      <c r="I47" s="263"/>
      <c r="J47" s="263"/>
      <c r="K47" s="263"/>
      <c r="L47" s="121"/>
      <c r="M47" s="14"/>
      <c r="N47" s="116"/>
      <c r="O47" s="116"/>
      <c r="P47" s="116"/>
      <c r="Q47" s="116"/>
      <c r="R47" s="7"/>
    </row>
    <row r="48" spans="2:18" s="3" customFormat="1" ht="18.95" customHeight="1" x14ac:dyDescent="0.3">
      <c r="B48" s="195"/>
      <c r="C48" s="192"/>
      <c r="D48" s="193"/>
      <c r="E48" s="194"/>
      <c r="F48" s="196"/>
      <c r="G48" s="7"/>
      <c r="H48" s="121"/>
      <c r="I48" s="256"/>
      <c r="J48" s="256"/>
      <c r="K48" s="256"/>
      <c r="L48" s="121"/>
      <c r="M48" s="7"/>
      <c r="R48" s="7"/>
    </row>
    <row r="49" spans="2:18" s="3" customFormat="1" ht="18.95" customHeight="1" x14ac:dyDescent="0.3">
      <c r="B49" s="195"/>
      <c r="C49" s="192"/>
      <c r="D49" s="193"/>
      <c r="E49" s="194"/>
      <c r="F49" s="196"/>
      <c r="G49" s="7"/>
      <c r="H49" s="121"/>
      <c r="I49" s="263" t="s">
        <v>84</v>
      </c>
      <c r="J49" s="263"/>
      <c r="K49" s="263"/>
      <c r="L49" s="121"/>
      <c r="M49" s="7"/>
      <c r="N49" s="268" t="s">
        <v>67</v>
      </c>
      <c r="O49" s="268"/>
      <c r="P49" s="265" t="s">
        <v>70</v>
      </c>
      <c r="Q49" s="265"/>
      <c r="R49" s="7"/>
    </row>
    <row r="50" spans="2:18" s="3" customFormat="1" ht="18.95" customHeight="1" thickBot="1" x14ac:dyDescent="0.35">
      <c r="B50" s="195"/>
      <c r="C50" s="192"/>
      <c r="D50" s="193"/>
      <c r="E50" s="194"/>
      <c r="F50" s="196"/>
      <c r="G50" s="7"/>
      <c r="H50" s="121"/>
      <c r="I50" s="263"/>
      <c r="J50" s="263"/>
      <c r="K50" s="263"/>
      <c r="L50" s="121"/>
      <c r="M50" s="7"/>
      <c r="N50" s="264"/>
      <c r="O50" s="264"/>
      <c r="P50" s="265"/>
      <c r="Q50" s="265"/>
      <c r="R50" s="7"/>
    </row>
    <row r="51" spans="2:18" s="3" customFormat="1" ht="18.95" customHeight="1" x14ac:dyDescent="0.3">
      <c r="B51" s="195"/>
      <c r="C51" s="192"/>
      <c r="D51" s="193"/>
      <c r="E51" s="194"/>
      <c r="F51" s="196"/>
      <c r="G51" s="7"/>
      <c r="H51" s="121"/>
      <c r="I51" s="263"/>
      <c r="J51" s="263"/>
      <c r="K51" s="263"/>
      <c r="L51" s="121"/>
      <c r="M51" s="7"/>
      <c r="N51" s="269"/>
      <c r="O51" s="269"/>
      <c r="P51" s="265"/>
      <c r="Q51" s="265"/>
      <c r="R51" s="7"/>
    </row>
    <row r="52" spans="2:18" s="3" customFormat="1" ht="18.95" customHeight="1" x14ac:dyDescent="0.3">
      <c r="B52" s="195"/>
      <c r="C52" s="192"/>
      <c r="D52" s="193"/>
      <c r="E52" s="194"/>
      <c r="F52" s="196"/>
      <c r="G52" s="7"/>
      <c r="H52" s="121"/>
      <c r="I52" s="263"/>
      <c r="J52" s="263"/>
      <c r="K52" s="263"/>
      <c r="L52" s="121"/>
      <c r="M52" s="7"/>
      <c r="N52" s="116"/>
      <c r="O52" s="116"/>
      <c r="P52" s="116"/>
      <c r="Q52" s="116"/>
      <c r="R52" s="7"/>
    </row>
    <row r="53" spans="2:18" s="3" customFormat="1" ht="18.95" customHeight="1" x14ac:dyDescent="0.3">
      <c r="B53" s="195"/>
      <c r="C53" s="192"/>
      <c r="D53" s="193"/>
      <c r="E53" s="194"/>
      <c r="F53" s="196"/>
      <c r="G53" s="7"/>
      <c r="H53" s="121"/>
      <c r="I53" s="273"/>
      <c r="J53" s="273"/>
      <c r="K53" s="273"/>
      <c r="L53" s="121"/>
      <c r="M53" s="7"/>
      <c r="N53" s="116"/>
      <c r="O53" s="116" t="s">
        <v>69</v>
      </c>
      <c r="P53" s="120"/>
      <c r="Q53" s="116"/>
      <c r="R53" s="7"/>
    </row>
    <row r="54" spans="2:18" s="3" customFormat="1" ht="18.95" customHeight="1" x14ac:dyDescent="0.3">
      <c r="B54" s="195"/>
      <c r="C54" s="192"/>
      <c r="D54" s="193"/>
      <c r="E54" s="194"/>
      <c r="F54" s="196"/>
      <c r="G54" s="7"/>
      <c r="H54" s="121"/>
      <c r="I54" s="263" t="s">
        <v>82</v>
      </c>
      <c r="J54" s="263"/>
      <c r="K54" s="263"/>
      <c r="L54" s="121"/>
      <c r="M54" s="7"/>
      <c r="N54" s="116"/>
      <c r="O54" s="120" t="s">
        <v>68</v>
      </c>
      <c r="P54" s="120"/>
      <c r="Q54" s="116"/>
      <c r="R54" s="7"/>
    </row>
    <row r="55" spans="2:18" s="3" customFormat="1" ht="18.95" customHeight="1" x14ac:dyDescent="0.3">
      <c r="B55" s="195"/>
      <c r="C55" s="192"/>
      <c r="D55" s="193"/>
      <c r="E55" s="194"/>
      <c r="F55" s="196"/>
      <c r="G55" s="7"/>
      <c r="H55" s="121"/>
      <c r="I55" s="256"/>
      <c r="J55" s="256"/>
      <c r="K55" s="256"/>
      <c r="L55" s="121"/>
      <c r="M55" s="7"/>
      <c r="N55" s="116"/>
      <c r="O55" s="116" t="s">
        <v>134</v>
      </c>
      <c r="P55" s="120"/>
      <c r="Q55" s="116"/>
      <c r="R55" s="7"/>
    </row>
    <row r="56" spans="2:18" s="3" customFormat="1" ht="18.95" customHeight="1" x14ac:dyDescent="0.35">
      <c r="B56" s="195"/>
      <c r="C56" s="192"/>
      <c r="D56" s="193"/>
      <c r="E56" s="194"/>
      <c r="F56" s="196"/>
      <c r="G56" s="7"/>
      <c r="H56" s="121"/>
      <c r="I56" s="256"/>
      <c r="J56" s="256"/>
      <c r="K56" s="256"/>
      <c r="L56" s="121"/>
      <c r="M56" s="7"/>
      <c r="N56" s="116"/>
      <c r="O56" s="116"/>
      <c r="P56" s="116"/>
      <c r="Q56" s="117" t="s">
        <v>129</v>
      </c>
      <c r="R56" s="7"/>
    </row>
    <row r="57" spans="2:18" s="3" customFormat="1" ht="18.95" customHeight="1" x14ac:dyDescent="0.3">
      <c r="B57" s="195"/>
      <c r="C57" s="192"/>
      <c r="D57" s="193"/>
      <c r="E57" s="194"/>
      <c r="F57" s="196"/>
      <c r="G57" s="7"/>
      <c r="H57" s="261"/>
      <c r="I57" s="262"/>
      <c r="J57" s="262"/>
      <c r="K57" s="262"/>
      <c r="L57" s="261"/>
      <c r="M57" s="7"/>
      <c r="N57" s="257"/>
      <c r="O57" s="257"/>
      <c r="P57" s="258"/>
      <c r="Q57" s="257"/>
      <c r="R57" s="7"/>
    </row>
    <row r="58" spans="2:18" s="3" customFormat="1" ht="18.95" customHeight="1" x14ac:dyDescent="0.3">
      <c r="B58" s="195"/>
      <c r="C58" s="192"/>
      <c r="D58" s="193"/>
      <c r="E58" s="194"/>
      <c r="F58" s="196"/>
      <c r="G58" s="7"/>
      <c r="H58" s="261"/>
      <c r="I58" s="262"/>
      <c r="J58" s="262"/>
      <c r="K58" s="262"/>
      <c r="L58" s="261"/>
      <c r="M58" s="7"/>
      <c r="N58" s="257"/>
      <c r="O58" s="257"/>
      <c r="P58" s="258"/>
      <c r="Q58" s="257"/>
      <c r="R58" s="7"/>
    </row>
    <row r="59" spans="2:18" s="3" customFormat="1" ht="18.95" customHeight="1" x14ac:dyDescent="0.3">
      <c r="B59" s="195"/>
      <c r="C59" s="192"/>
      <c r="D59" s="193"/>
      <c r="E59" s="194"/>
      <c r="F59" s="196"/>
      <c r="G59" s="7"/>
      <c r="H59" s="261"/>
      <c r="I59" s="262"/>
      <c r="J59" s="262"/>
      <c r="K59" s="262"/>
      <c r="L59" s="261"/>
      <c r="M59" s="7"/>
      <c r="N59" s="257"/>
      <c r="O59" s="257"/>
      <c r="P59" s="258"/>
      <c r="Q59" s="257"/>
      <c r="R59" s="7"/>
    </row>
    <row r="60" spans="2:18" s="3" customFormat="1" ht="18.95" customHeight="1" x14ac:dyDescent="0.3">
      <c r="B60" s="195"/>
      <c r="C60" s="192"/>
      <c r="D60" s="193"/>
      <c r="E60" s="194"/>
      <c r="F60" s="196"/>
      <c r="G60" s="7"/>
      <c r="H60" s="261"/>
      <c r="I60" s="261"/>
      <c r="J60" s="261"/>
      <c r="K60" s="261"/>
      <c r="L60" s="261"/>
      <c r="M60" s="7"/>
      <c r="N60" s="257"/>
      <c r="O60" s="257"/>
      <c r="P60" s="258"/>
      <c r="Q60" s="257"/>
      <c r="R60" s="7"/>
    </row>
    <row r="61" spans="2:18" s="3" customFormat="1" ht="18.95" customHeight="1" x14ac:dyDescent="0.3">
      <c r="B61" s="195"/>
      <c r="C61" s="192"/>
      <c r="D61" s="193"/>
      <c r="E61" s="194"/>
      <c r="F61" s="196"/>
      <c r="G61" s="7"/>
      <c r="H61" s="261"/>
      <c r="I61" s="261"/>
      <c r="J61" s="261"/>
      <c r="K61" s="261"/>
      <c r="L61" s="261"/>
      <c r="M61" s="7"/>
      <c r="R61" s="7"/>
    </row>
    <row r="62" spans="2:18" s="3" customFormat="1" ht="18.95" customHeight="1" x14ac:dyDescent="0.3">
      <c r="B62" s="195"/>
      <c r="C62" s="192"/>
      <c r="D62" s="193"/>
      <c r="E62" s="194"/>
      <c r="F62" s="196"/>
      <c r="G62" s="7"/>
      <c r="H62" s="261"/>
      <c r="I62" s="261"/>
      <c r="J62" s="261"/>
      <c r="K62" s="261"/>
      <c r="L62" s="261"/>
      <c r="M62" s="7"/>
      <c r="R62" s="7"/>
    </row>
    <row r="63" spans="2:18" s="3" customFormat="1" ht="18.95" customHeight="1" x14ac:dyDescent="0.3">
      <c r="B63" s="195"/>
      <c r="C63" s="192"/>
      <c r="D63" s="193"/>
      <c r="E63" s="194"/>
      <c r="F63" s="196"/>
      <c r="G63" s="7"/>
      <c r="H63" s="261"/>
      <c r="I63" s="261"/>
      <c r="J63" s="261"/>
      <c r="K63" s="261"/>
      <c r="L63" s="261"/>
      <c r="M63" s="7"/>
      <c r="N63" s="7"/>
      <c r="O63" s="7"/>
      <c r="P63" s="7"/>
      <c r="Q63" s="7"/>
      <c r="R63" s="7"/>
    </row>
    <row r="64" spans="2:18" s="3" customFormat="1" ht="18.95" customHeight="1" x14ac:dyDescent="0.3">
      <c r="B64" s="195"/>
      <c r="C64" s="192"/>
      <c r="D64" s="193"/>
      <c r="E64" s="194"/>
      <c r="F64" s="196"/>
      <c r="G64" s="7"/>
      <c r="H64" s="261"/>
      <c r="I64" s="261"/>
      <c r="J64" s="261"/>
      <c r="K64" s="261"/>
      <c r="L64" s="261"/>
      <c r="M64" s="7"/>
      <c r="N64" s="7"/>
      <c r="O64" s="7"/>
      <c r="P64" s="7"/>
      <c r="Q64" s="7"/>
      <c r="R64" s="7"/>
    </row>
    <row r="65" spans="2:18" s="3" customFormat="1" ht="18.95" customHeight="1" x14ac:dyDescent="0.3">
      <c r="B65" s="195"/>
      <c r="C65" s="192"/>
      <c r="D65" s="193"/>
      <c r="E65" s="194"/>
      <c r="F65" s="196"/>
      <c r="G65" s="7"/>
      <c r="H65" s="261"/>
      <c r="I65" s="261"/>
      <c r="J65" s="261"/>
      <c r="K65" s="261"/>
      <c r="L65" s="261"/>
      <c r="M65" s="7"/>
      <c r="N65" s="7"/>
      <c r="O65" s="7"/>
      <c r="P65" s="7"/>
      <c r="Q65" s="7"/>
      <c r="R65" s="7"/>
    </row>
    <row r="66" spans="2:18" s="3" customFormat="1" ht="18.75" x14ac:dyDescent="0.3">
      <c r="B66" s="195"/>
      <c r="C66" s="192"/>
      <c r="D66" s="193"/>
      <c r="E66" s="194"/>
      <c r="F66" s="196"/>
      <c r="G66" s="7"/>
      <c r="H66" s="93"/>
      <c r="I66" s="93"/>
      <c r="J66" s="93"/>
      <c r="K66" s="93"/>
      <c r="L66" s="93"/>
      <c r="M66" s="7"/>
      <c r="N66" s="7"/>
      <c r="O66" s="7"/>
      <c r="P66" s="7"/>
      <c r="Q66" s="7"/>
      <c r="R66" s="7"/>
    </row>
    <row r="67" spans="2:18" s="3" customFormat="1" ht="18.75" x14ac:dyDescent="0.3">
      <c r="B67" s="195"/>
      <c r="C67" s="192"/>
      <c r="D67" s="193"/>
      <c r="E67" s="194"/>
      <c r="F67" s="196"/>
      <c r="G67" s="7"/>
      <c r="H67" s="93"/>
      <c r="I67" s="93"/>
      <c r="J67" s="93"/>
      <c r="K67" s="93"/>
      <c r="L67" s="93"/>
      <c r="M67" s="7"/>
      <c r="N67" s="7"/>
      <c r="O67" s="7"/>
      <c r="P67" s="7"/>
      <c r="Q67" s="7"/>
      <c r="R67" s="7"/>
    </row>
    <row r="68" spans="2:18" s="3" customFormat="1" ht="18.75" x14ac:dyDescent="0.3">
      <c r="B68" s="195"/>
      <c r="C68" s="192"/>
      <c r="D68" s="193"/>
      <c r="E68" s="194"/>
      <c r="F68" s="196"/>
      <c r="G68" s="7"/>
      <c r="H68" s="93"/>
      <c r="I68" s="93"/>
      <c r="J68" s="93"/>
      <c r="K68" s="93"/>
      <c r="L68" s="93"/>
      <c r="M68" s="7"/>
      <c r="N68" s="7"/>
      <c r="O68" s="7"/>
      <c r="P68" s="7"/>
      <c r="Q68" s="7"/>
      <c r="R68" s="7"/>
    </row>
    <row r="69" spans="2:18" s="3" customFormat="1" ht="18.75" x14ac:dyDescent="0.3">
      <c r="B69" s="195"/>
      <c r="C69" s="192"/>
      <c r="D69" s="193"/>
      <c r="E69" s="194"/>
      <c r="F69" s="196"/>
      <c r="G69" s="7"/>
      <c r="H69" s="93"/>
      <c r="I69" s="93"/>
      <c r="J69" s="93"/>
      <c r="K69" s="93"/>
      <c r="L69" s="93"/>
      <c r="M69" s="7"/>
      <c r="N69" s="7"/>
      <c r="O69" s="7"/>
      <c r="P69" s="7"/>
      <c r="Q69" s="7"/>
      <c r="R69" s="7"/>
    </row>
    <row r="70" spans="2:18" s="3" customFormat="1" ht="18.75" x14ac:dyDescent="0.3">
      <c r="B70" s="195"/>
      <c r="C70" s="192"/>
      <c r="D70" s="193"/>
      <c r="E70" s="194"/>
      <c r="F70" s="196"/>
      <c r="G70" s="7"/>
      <c r="H70" s="93"/>
      <c r="I70" s="93"/>
      <c r="J70" s="93"/>
      <c r="K70" s="93"/>
      <c r="L70" s="93"/>
      <c r="M70" s="7"/>
      <c r="N70" s="7"/>
      <c r="O70" s="7"/>
      <c r="P70" s="7"/>
      <c r="Q70" s="7"/>
      <c r="R70" s="7"/>
    </row>
    <row r="71" spans="2:18" s="3" customFormat="1" ht="18.75" x14ac:dyDescent="0.3">
      <c r="B71" s="195"/>
      <c r="C71" s="196"/>
      <c r="D71" s="196"/>
      <c r="E71" s="196"/>
      <c r="F71" s="196"/>
      <c r="G71" s="7"/>
      <c r="H71" s="93"/>
      <c r="I71" s="93"/>
      <c r="J71" s="93"/>
      <c r="K71" s="93"/>
      <c r="L71" s="93"/>
      <c r="M71" s="7"/>
      <c r="N71" s="7"/>
      <c r="O71" s="7"/>
      <c r="P71" s="7"/>
      <c r="Q71" s="7"/>
      <c r="R71" s="7"/>
    </row>
    <row r="72" spans="2:18" s="3" customFormat="1" ht="15.75" x14ac:dyDescent="0.25">
      <c r="B72" s="6"/>
      <c r="C72" s="7"/>
      <c r="D72" s="7"/>
      <c r="E72" s="7"/>
      <c r="F72" s="7"/>
      <c r="G72" s="7"/>
      <c r="H72" s="93"/>
      <c r="I72" s="93"/>
      <c r="J72" s="93"/>
      <c r="K72" s="93"/>
      <c r="L72" s="93"/>
      <c r="M72" s="7"/>
      <c r="N72" s="7"/>
      <c r="O72" s="7"/>
      <c r="P72" s="7"/>
      <c r="Q72" s="7"/>
      <c r="R72" s="7"/>
    </row>
    <row r="73" spans="2:18" s="3" customFormat="1" ht="15.75" x14ac:dyDescent="0.25">
      <c r="B73" s="6"/>
      <c r="C73" s="7"/>
      <c r="D73" s="7"/>
      <c r="E73" s="7"/>
      <c r="F73" s="7"/>
      <c r="G73" s="7"/>
      <c r="H73" s="93"/>
      <c r="I73" s="93"/>
      <c r="J73" s="93"/>
      <c r="K73" s="93"/>
      <c r="L73" s="93"/>
      <c r="M73" s="7"/>
      <c r="N73" s="7"/>
      <c r="O73" s="7"/>
      <c r="P73" s="7"/>
      <c r="Q73" s="7"/>
      <c r="R73" s="7"/>
    </row>
    <row r="74" spans="2:18" s="3" customFormat="1" ht="15.75" x14ac:dyDescent="0.25">
      <c r="B74" s="6"/>
      <c r="C74" s="7"/>
      <c r="D74" s="7"/>
      <c r="E74" s="7"/>
      <c r="F74" s="7"/>
      <c r="G74" s="7"/>
      <c r="H74" s="93"/>
      <c r="I74" s="93"/>
      <c r="J74" s="93"/>
      <c r="K74" s="93"/>
      <c r="L74" s="93"/>
      <c r="M74" s="7"/>
      <c r="N74" s="7"/>
      <c r="O74" s="7"/>
      <c r="P74" s="7"/>
      <c r="Q74" s="7"/>
      <c r="R74" s="7"/>
    </row>
    <row r="75" spans="2:18" s="3" customFormat="1" ht="15.75" x14ac:dyDescent="0.25">
      <c r="B75" s="6"/>
      <c r="C75" s="7"/>
      <c r="D75" s="7"/>
      <c r="E75" s="7"/>
      <c r="F75" s="7"/>
      <c r="G75" s="7"/>
      <c r="H75" s="93"/>
      <c r="I75" s="93"/>
      <c r="J75" s="93"/>
      <c r="K75" s="93"/>
      <c r="L75" s="93"/>
      <c r="M75" s="7"/>
      <c r="N75" s="7"/>
      <c r="O75" s="7"/>
      <c r="P75" s="7"/>
      <c r="Q75" s="7"/>
      <c r="R75" s="7"/>
    </row>
    <row r="76" spans="2:18" s="3" customFormat="1" ht="15.75" x14ac:dyDescent="0.25">
      <c r="B76" s="6"/>
      <c r="C76" s="7"/>
      <c r="D76" s="7"/>
      <c r="E76" s="7"/>
      <c r="F76" s="7"/>
      <c r="G76" s="7"/>
      <c r="H76" s="93"/>
      <c r="I76" s="93"/>
      <c r="J76" s="93"/>
      <c r="K76" s="93"/>
      <c r="L76" s="93"/>
      <c r="M76" s="7"/>
      <c r="N76" s="7"/>
      <c r="O76" s="7"/>
      <c r="P76" s="7"/>
      <c r="Q76" s="7"/>
      <c r="R76" s="7"/>
    </row>
    <row r="77" spans="2:18" s="3" customFormat="1" ht="15.75" x14ac:dyDescent="0.25">
      <c r="B77" s="6"/>
      <c r="C77" s="7"/>
      <c r="D77" s="7"/>
      <c r="E77" s="7"/>
      <c r="F77" s="7"/>
      <c r="G77" s="7"/>
      <c r="H77" s="93"/>
      <c r="I77" s="93"/>
      <c r="J77" s="93"/>
      <c r="K77" s="93"/>
      <c r="L77" s="93"/>
      <c r="M77" s="7"/>
      <c r="N77" s="7"/>
      <c r="O77" s="7"/>
      <c r="P77" s="7"/>
      <c r="Q77" s="7"/>
      <c r="R77" s="7"/>
    </row>
    <row r="78" spans="2:18" s="3" customFormat="1" ht="15.75" x14ac:dyDescent="0.25">
      <c r="B78" s="6"/>
      <c r="C78" s="7"/>
      <c r="D78" s="7"/>
      <c r="E78" s="7"/>
      <c r="F78" s="7"/>
      <c r="G78" s="7"/>
      <c r="H78" s="93"/>
      <c r="I78" s="93"/>
      <c r="J78" s="93"/>
      <c r="K78" s="93"/>
      <c r="L78" s="93"/>
      <c r="M78" s="7"/>
      <c r="N78" s="7"/>
      <c r="O78" s="7"/>
      <c r="P78" s="7"/>
      <c r="Q78" s="7"/>
      <c r="R78" s="7"/>
    </row>
    <row r="79" spans="2:18" s="3" customFormat="1" ht="15.75" x14ac:dyDescent="0.25">
      <c r="B79" s="6"/>
      <c r="C79" s="7"/>
      <c r="D79" s="7"/>
      <c r="E79" s="7"/>
      <c r="F79" s="7"/>
      <c r="G79" s="7"/>
      <c r="H79" s="93"/>
      <c r="I79" s="93"/>
      <c r="J79" s="93"/>
      <c r="K79" s="93"/>
      <c r="L79" s="93"/>
      <c r="M79" s="7"/>
      <c r="N79" s="7"/>
      <c r="O79" s="7"/>
      <c r="P79" s="7"/>
      <c r="Q79" s="7"/>
      <c r="R79" s="7"/>
    </row>
    <row r="80" spans="2:18" s="3" customFormat="1" ht="15.75" x14ac:dyDescent="0.25">
      <c r="B80" s="6"/>
      <c r="C80" s="7"/>
      <c r="D80" s="7"/>
      <c r="E80" s="7"/>
      <c r="F80" s="7"/>
      <c r="G80" s="7"/>
      <c r="H80" s="93"/>
      <c r="I80" s="93"/>
      <c r="J80" s="93"/>
      <c r="K80" s="93"/>
      <c r="L80" s="93"/>
      <c r="M80" s="7"/>
      <c r="N80" s="7"/>
      <c r="O80" s="7"/>
      <c r="P80" s="7"/>
      <c r="Q80" s="7"/>
      <c r="R80" s="7"/>
    </row>
    <row r="81" spans="2:18" s="3" customFormat="1" ht="15.75" x14ac:dyDescent="0.25">
      <c r="B81" s="6"/>
      <c r="C81" s="7"/>
      <c r="D81" s="7"/>
      <c r="E81" s="7"/>
      <c r="F81" s="7"/>
      <c r="G81" s="7"/>
      <c r="H81" s="93"/>
      <c r="I81" s="93"/>
      <c r="J81" s="93"/>
      <c r="K81" s="93"/>
      <c r="L81" s="93"/>
      <c r="M81" s="7"/>
      <c r="N81" s="7"/>
      <c r="O81" s="7"/>
      <c r="P81" s="7"/>
      <c r="Q81" s="7"/>
      <c r="R81" s="7"/>
    </row>
    <row r="82" spans="2:18" s="3" customFormat="1" ht="15.75" x14ac:dyDescent="0.25">
      <c r="B82" s="6"/>
      <c r="C82" s="7"/>
      <c r="D82" s="7"/>
      <c r="E82" s="7"/>
      <c r="F82" s="7"/>
      <c r="G82" s="7"/>
      <c r="H82" s="93"/>
      <c r="I82" s="93"/>
      <c r="J82" s="93"/>
      <c r="K82" s="93"/>
      <c r="L82" s="93"/>
      <c r="M82" s="7"/>
      <c r="N82" s="7"/>
      <c r="O82" s="7"/>
      <c r="P82" s="7"/>
      <c r="Q82" s="7"/>
      <c r="R82" s="7"/>
    </row>
    <row r="83" spans="2:18" s="3" customFormat="1" ht="15.75" x14ac:dyDescent="0.25">
      <c r="B83" s="6"/>
      <c r="C83" s="7"/>
      <c r="D83" s="7"/>
      <c r="E83" s="7"/>
      <c r="F83" s="7"/>
      <c r="G83" s="7"/>
      <c r="H83" s="93"/>
      <c r="I83" s="93"/>
      <c r="J83" s="93"/>
      <c r="K83" s="93"/>
      <c r="L83" s="93"/>
      <c r="M83" s="7"/>
      <c r="N83" s="7"/>
      <c r="O83" s="7"/>
      <c r="P83" s="7"/>
      <c r="Q83" s="7"/>
      <c r="R83" s="7"/>
    </row>
    <row r="84" spans="2:18" s="3" customFormat="1" ht="15.75" x14ac:dyDescent="0.25">
      <c r="B84" s="6"/>
      <c r="C84" s="7"/>
      <c r="D84" s="7"/>
      <c r="E84" s="7"/>
      <c r="F84" s="7"/>
      <c r="G84" s="7"/>
      <c r="H84" s="93"/>
      <c r="I84" s="93"/>
      <c r="J84" s="93"/>
      <c r="K84" s="93"/>
      <c r="L84" s="93"/>
      <c r="M84" s="7"/>
      <c r="N84" s="7"/>
      <c r="O84" s="7"/>
      <c r="P84" s="7"/>
      <c r="Q84" s="7"/>
      <c r="R84" s="7"/>
    </row>
    <row r="85" spans="2:18" s="3" customFormat="1" ht="15.75" x14ac:dyDescent="0.25">
      <c r="B85" s="6"/>
      <c r="C85" s="7"/>
      <c r="D85" s="7"/>
      <c r="E85" s="7"/>
      <c r="F85" s="7"/>
      <c r="G85" s="7"/>
      <c r="H85" s="93"/>
      <c r="I85" s="93"/>
      <c r="J85" s="93"/>
      <c r="K85" s="93"/>
      <c r="L85" s="93"/>
      <c r="M85" s="7"/>
      <c r="N85" s="7"/>
      <c r="O85" s="7"/>
      <c r="P85" s="7"/>
      <c r="Q85" s="7"/>
      <c r="R85" s="7"/>
    </row>
    <row r="86" spans="2:18" s="3" customFormat="1" ht="15.75" x14ac:dyDescent="0.25">
      <c r="B86" s="6"/>
      <c r="C86" s="7"/>
      <c r="D86" s="7"/>
      <c r="E86" s="7"/>
      <c r="F86" s="7"/>
      <c r="G86" s="7"/>
      <c r="H86" s="93"/>
      <c r="I86" s="93"/>
      <c r="J86" s="93"/>
      <c r="K86" s="93"/>
      <c r="L86" s="93"/>
      <c r="M86" s="7"/>
      <c r="N86" s="7"/>
      <c r="O86" s="7"/>
      <c r="P86" s="7"/>
      <c r="Q86" s="7"/>
      <c r="R86" s="7"/>
    </row>
    <row r="87" spans="2:18" s="3" customFormat="1" ht="15.75" x14ac:dyDescent="0.25">
      <c r="B87" s="6"/>
      <c r="C87" s="7"/>
      <c r="D87" s="7"/>
      <c r="E87" s="7"/>
      <c r="F87" s="7"/>
      <c r="G87" s="7"/>
      <c r="H87" s="93"/>
      <c r="I87" s="93"/>
      <c r="J87" s="93"/>
      <c r="K87" s="93"/>
      <c r="L87" s="93"/>
      <c r="M87" s="7"/>
      <c r="N87" s="7"/>
      <c r="O87" s="7"/>
      <c r="P87" s="7"/>
      <c r="Q87" s="7"/>
      <c r="R87" s="7"/>
    </row>
    <row r="88" spans="2:18" s="3" customFormat="1" ht="15.75" x14ac:dyDescent="0.25">
      <c r="B88" s="6"/>
      <c r="C88" s="7"/>
      <c r="D88" s="7"/>
      <c r="E88" s="7"/>
      <c r="F88" s="7"/>
      <c r="G88" s="7"/>
      <c r="H88" s="93"/>
      <c r="I88" s="93"/>
      <c r="J88" s="93"/>
      <c r="K88" s="93"/>
      <c r="L88" s="93"/>
      <c r="M88" s="7"/>
      <c r="N88" s="7"/>
      <c r="O88" s="7"/>
      <c r="P88" s="7"/>
      <c r="Q88" s="7"/>
      <c r="R88" s="7"/>
    </row>
    <row r="89" spans="2:18" s="3" customFormat="1" ht="15.75" x14ac:dyDescent="0.25">
      <c r="B89" s="6"/>
      <c r="C89" s="7"/>
      <c r="D89" s="7"/>
      <c r="E89" s="7"/>
      <c r="F89" s="7"/>
      <c r="G89" s="7"/>
      <c r="H89" s="93"/>
      <c r="I89" s="93"/>
      <c r="J89" s="93"/>
      <c r="K89" s="93"/>
      <c r="L89" s="93"/>
      <c r="M89" s="7"/>
      <c r="N89" s="7"/>
      <c r="O89" s="7"/>
      <c r="P89" s="7"/>
      <c r="Q89" s="7"/>
      <c r="R89" s="7"/>
    </row>
    <row r="90" spans="2:18" s="3" customFormat="1" ht="15.75" x14ac:dyDescent="0.25">
      <c r="B90" s="6"/>
      <c r="C90" s="7"/>
      <c r="D90" s="7"/>
      <c r="E90" s="7"/>
      <c r="F90" s="7"/>
      <c r="G90" s="7"/>
      <c r="H90" s="93"/>
      <c r="I90" s="93"/>
      <c r="J90" s="93"/>
      <c r="K90" s="93"/>
      <c r="L90" s="93"/>
      <c r="M90" s="7"/>
      <c r="N90" s="7"/>
      <c r="O90" s="7"/>
      <c r="P90" s="7"/>
      <c r="Q90" s="7"/>
      <c r="R90" s="7"/>
    </row>
    <row r="91" spans="2:18" s="3" customFormat="1" ht="15.75" x14ac:dyDescent="0.25">
      <c r="B91" s="6"/>
      <c r="C91" s="7"/>
      <c r="D91" s="7"/>
      <c r="E91" s="7"/>
      <c r="F91" s="7"/>
      <c r="G91" s="7"/>
      <c r="H91" s="93"/>
      <c r="I91" s="93"/>
      <c r="J91" s="93"/>
      <c r="K91" s="93"/>
      <c r="L91" s="93"/>
      <c r="M91" s="7"/>
      <c r="N91" s="7"/>
      <c r="O91" s="7"/>
      <c r="P91" s="7"/>
      <c r="Q91" s="7"/>
      <c r="R91" s="7"/>
    </row>
    <row r="92" spans="2:18" s="3" customFormat="1" ht="15.75" x14ac:dyDescent="0.25">
      <c r="B92" s="6"/>
      <c r="C92" s="7"/>
      <c r="D92" s="7"/>
      <c r="E92" s="7"/>
      <c r="F92" s="7"/>
      <c r="G92" s="7"/>
      <c r="H92" s="93"/>
      <c r="I92" s="93"/>
      <c r="J92" s="93"/>
      <c r="K92" s="93"/>
      <c r="L92" s="93"/>
      <c r="M92" s="7"/>
      <c r="N92" s="7"/>
      <c r="O92" s="7"/>
      <c r="P92" s="7"/>
      <c r="Q92" s="7"/>
      <c r="R92" s="7"/>
    </row>
    <row r="93" spans="2:18" s="3" customFormat="1" ht="15.75" x14ac:dyDescent="0.25">
      <c r="B93" s="6"/>
      <c r="C93" s="7"/>
      <c r="D93" s="7"/>
      <c r="E93" s="7"/>
      <c r="F93" s="7"/>
      <c r="G93" s="7"/>
      <c r="H93" s="93"/>
      <c r="I93" s="93"/>
      <c r="J93" s="93"/>
      <c r="K93" s="93"/>
      <c r="L93" s="93"/>
      <c r="M93" s="7"/>
      <c r="N93" s="7"/>
      <c r="O93" s="7"/>
      <c r="P93" s="7"/>
      <c r="Q93" s="7"/>
      <c r="R93" s="7"/>
    </row>
    <row r="94" spans="2:18" s="3" customFormat="1" ht="15.75" x14ac:dyDescent="0.25">
      <c r="B94" s="6"/>
      <c r="C94" s="7"/>
      <c r="D94" s="7"/>
      <c r="E94" s="7"/>
      <c r="F94" s="7"/>
      <c r="G94" s="7"/>
      <c r="H94" s="93"/>
      <c r="I94" s="93"/>
      <c r="J94" s="93"/>
      <c r="K94" s="93"/>
      <c r="L94" s="93"/>
      <c r="M94" s="7"/>
      <c r="N94" s="7"/>
      <c r="O94" s="7"/>
      <c r="P94" s="7"/>
      <c r="Q94" s="7"/>
      <c r="R94" s="7"/>
    </row>
    <row r="95" spans="2:18" s="3" customFormat="1" ht="15.75" x14ac:dyDescent="0.25">
      <c r="B95" s="6"/>
      <c r="C95" s="7"/>
      <c r="D95" s="7"/>
      <c r="E95" s="7"/>
      <c r="F95" s="7"/>
      <c r="G95" s="7"/>
      <c r="H95" s="93"/>
      <c r="I95" s="93"/>
      <c r="J95" s="93"/>
      <c r="K95" s="93"/>
      <c r="L95" s="93"/>
      <c r="M95" s="7"/>
      <c r="N95" s="7"/>
      <c r="O95" s="7"/>
      <c r="P95" s="7"/>
      <c r="Q95" s="7"/>
      <c r="R95" s="7"/>
    </row>
    <row r="96" spans="2:18" s="3" customFormat="1" ht="15.75" x14ac:dyDescent="0.25">
      <c r="B96" s="6"/>
      <c r="C96" s="7"/>
      <c r="D96" s="7"/>
      <c r="E96" s="7"/>
      <c r="F96" s="7"/>
      <c r="G96" s="7"/>
      <c r="H96" s="93"/>
      <c r="I96" s="93"/>
      <c r="J96" s="93"/>
      <c r="K96" s="93"/>
      <c r="L96" s="93"/>
      <c r="M96" s="7"/>
      <c r="N96" s="7"/>
      <c r="O96" s="7"/>
      <c r="P96" s="7"/>
      <c r="Q96" s="7"/>
      <c r="R96" s="7"/>
    </row>
    <row r="97" spans="2:18" s="3" customFormat="1" ht="15.75" x14ac:dyDescent="0.25">
      <c r="B97" s="6"/>
      <c r="C97" s="7"/>
      <c r="D97" s="7"/>
      <c r="E97" s="7"/>
      <c r="F97" s="7"/>
      <c r="G97" s="7"/>
      <c r="H97" s="93"/>
      <c r="I97" s="93"/>
      <c r="J97" s="93"/>
      <c r="K97" s="93"/>
      <c r="L97" s="93"/>
      <c r="M97" s="7"/>
      <c r="N97" s="7"/>
      <c r="O97" s="7"/>
      <c r="P97" s="7"/>
      <c r="Q97" s="7"/>
      <c r="R97" s="7"/>
    </row>
    <row r="98" spans="2:18" s="3" customFormat="1" ht="15.75" x14ac:dyDescent="0.25">
      <c r="B98" s="6"/>
      <c r="C98" s="7"/>
      <c r="D98" s="7"/>
      <c r="E98" s="7"/>
      <c r="F98" s="7"/>
      <c r="G98" s="7"/>
      <c r="H98" s="93"/>
      <c r="I98" s="93"/>
      <c r="J98" s="93"/>
      <c r="K98" s="93"/>
      <c r="L98" s="93"/>
      <c r="M98" s="7"/>
      <c r="N98" s="7"/>
      <c r="O98" s="7"/>
      <c r="P98" s="7"/>
      <c r="Q98" s="7"/>
      <c r="R98" s="7"/>
    </row>
    <row r="99" spans="2:18" s="3" customFormat="1" ht="15.75" x14ac:dyDescent="0.25">
      <c r="B99" s="6"/>
      <c r="C99" s="7"/>
      <c r="D99" s="7"/>
      <c r="E99" s="7"/>
      <c r="F99" s="7"/>
      <c r="G99" s="7"/>
      <c r="H99" s="93"/>
      <c r="I99" s="93"/>
      <c r="J99" s="93"/>
      <c r="K99" s="93"/>
      <c r="L99" s="93"/>
      <c r="M99" s="7"/>
      <c r="N99" s="7"/>
      <c r="O99" s="7"/>
      <c r="P99" s="7"/>
      <c r="Q99" s="7"/>
      <c r="R99" s="7"/>
    </row>
    <row r="100" spans="2:18" s="3" customFormat="1" ht="15.75" x14ac:dyDescent="0.25">
      <c r="B100" s="6"/>
      <c r="C100" s="7"/>
      <c r="D100" s="7"/>
      <c r="E100" s="7"/>
      <c r="F100" s="7"/>
      <c r="G100" s="7"/>
      <c r="H100" s="93"/>
      <c r="I100" s="93"/>
      <c r="J100" s="93"/>
      <c r="K100" s="93"/>
      <c r="L100" s="93"/>
      <c r="M100" s="7"/>
      <c r="N100" s="7"/>
      <c r="O100" s="7"/>
      <c r="P100" s="7"/>
      <c r="Q100" s="7"/>
      <c r="R100" s="7"/>
    </row>
    <row r="101" spans="2:18" s="3" customFormat="1" ht="15.75" x14ac:dyDescent="0.25">
      <c r="B101" s="6"/>
      <c r="C101" s="7"/>
      <c r="D101" s="7"/>
      <c r="E101" s="7"/>
      <c r="F101" s="7"/>
      <c r="G101" s="7"/>
      <c r="H101" s="93"/>
      <c r="I101" s="93"/>
      <c r="J101" s="93"/>
      <c r="K101" s="93"/>
      <c r="L101" s="93"/>
      <c r="M101" s="7"/>
      <c r="N101" s="7"/>
      <c r="O101" s="7"/>
      <c r="P101" s="7"/>
      <c r="Q101" s="7"/>
      <c r="R101" s="7"/>
    </row>
    <row r="102" spans="2:18" s="3" customFormat="1" ht="15.75" x14ac:dyDescent="0.25">
      <c r="B102" s="6"/>
      <c r="C102" s="7"/>
      <c r="D102" s="7"/>
      <c r="E102" s="7"/>
      <c r="F102" s="7"/>
      <c r="G102" s="7"/>
      <c r="H102" s="93"/>
      <c r="I102" s="93"/>
      <c r="J102" s="93"/>
      <c r="K102" s="93"/>
      <c r="L102" s="93"/>
      <c r="M102" s="7"/>
      <c r="N102" s="7"/>
      <c r="O102" s="7"/>
      <c r="P102" s="7"/>
      <c r="Q102" s="7"/>
      <c r="R102" s="7"/>
    </row>
    <row r="103" spans="2:18" s="3" customFormat="1" ht="15.75" x14ac:dyDescent="0.25">
      <c r="B103" s="6"/>
      <c r="C103" s="7"/>
      <c r="D103" s="7"/>
      <c r="E103" s="7"/>
      <c r="F103" s="7"/>
      <c r="G103" s="7"/>
      <c r="H103" s="93"/>
      <c r="I103" s="93"/>
      <c r="J103" s="93"/>
      <c r="K103" s="93"/>
      <c r="L103" s="93"/>
      <c r="M103" s="7"/>
      <c r="N103" s="7"/>
      <c r="O103" s="7"/>
      <c r="P103" s="7"/>
      <c r="Q103" s="7"/>
      <c r="R103" s="7"/>
    </row>
    <row r="104" spans="2:18" s="3" customFormat="1" ht="15.75" x14ac:dyDescent="0.25">
      <c r="B104" s="6"/>
      <c r="C104" s="7"/>
      <c r="D104" s="7"/>
      <c r="E104" s="7"/>
      <c r="F104" s="7"/>
      <c r="G104" s="7"/>
      <c r="H104" s="93"/>
      <c r="I104" s="93"/>
      <c r="J104" s="93"/>
      <c r="K104" s="93"/>
      <c r="L104" s="93"/>
      <c r="M104" s="7"/>
      <c r="N104" s="7"/>
      <c r="O104" s="7"/>
      <c r="P104" s="7"/>
      <c r="Q104" s="7"/>
      <c r="R104" s="7"/>
    </row>
    <row r="105" spans="2:18" s="3" customFormat="1" ht="15.75" x14ac:dyDescent="0.25">
      <c r="B105" s="6"/>
      <c r="C105" s="7"/>
      <c r="D105" s="7"/>
      <c r="E105" s="7"/>
      <c r="F105" s="7"/>
      <c r="G105" s="7"/>
      <c r="H105" s="93"/>
      <c r="I105" s="93"/>
      <c r="J105" s="93"/>
      <c r="K105" s="93"/>
      <c r="L105" s="93"/>
      <c r="M105" s="7"/>
      <c r="N105" s="7"/>
      <c r="O105" s="7"/>
      <c r="P105" s="7"/>
      <c r="Q105" s="7"/>
      <c r="R105" s="7"/>
    </row>
    <row r="106" spans="2:18" s="3" customFormat="1" ht="15.75" x14ac:dyDescent="0.25">
      <c r="B106" s="6"/>
      <c r="C106" s="7"/>
      <c r="D106" s="7"/>
      <c r="E106" s="7"/>
      <c r="F106" s="7"/>
      <c r="G106" s="7"/>
      <c r="H106" s="93"/>
      <c r="I106" s="93"/>
      <c r="J106" s="93"/>
      <c r="K106" s="93"/>
      <c r="L106" s="93"/>
      <c r="M106" s="7"/>
      <c r="N106" s="7"/>
      <c r="O106" s="7"/>
      <c r="P106" s="7"/>
      <c r="Q106" s="7"/>
      <c r="R106" s="7"/>
    </row>
    <row r="107" spans="2:18" s="3" customFormat="1" ht="15.75" x14ac:dyDescent="0.25">
      <c r="B107" s="6"/>
      <c r="C107" s="7"/>
      <c r="D107" s="7"/>
      <c r="E107" s="7"/>
      <c r="F107" s="7"/>
      <c r="G107" s="7"/>
      <c r="H107" s="93"/>
      <c r="I107" s="93"/>
      <c r="J107" s="93"/>
      <c r="K107" s="93"/>
      <c r="L107" s="93"/>
      <c r="M107" s="7"/>
      <c r="N107" s="7"/>
      <c r="O107" s="7"/>
      <c r="P107" s="7"/>
      <c r="Q107" s="7"/>
      <c r="R107" s="7"/>
    </row>
    <row r="108" spans="2:18" s="3" customFormat="1" ht="15.75" x14ac:dyDescent="0.25">
      <c r="B108" s="6"/>
      <c r="C108" s="7"/>
      <c r="D108" s="7"/>
      <c r="E108" s="7"/>
      <c r="F108" s="7"/>
      <c r="G108" s="7"/>
      <c r="H108" s="93"/>
      <c r="I108" s="93"/>
      <c r="J108" s="93"/>
      <c r="K108" s="93"/>
      <c r="L108" s="93"/>
      <c r="M108" s="7"/>
      <c r="N108" s="7"/>
      <c r="O108" s="7"/>
      <c r="P108" s="7"/>
      <c r="Q108" s="7"/>
      <c r="R108" s="7"/>
    </row>
    <row r="109" spans="2:18" s="3" customFormat="1" ht="15.75" x14ac:dyDescent="0.25">
      <c r="B109" s="6"/>
      <c r="C109" s="7"/>
      <c r="D109" s="7"/>
      <c r="E109" s="7"/>
      <c r="F109" s="7"/>
      <c r="G109" s="7"/>
      <c r="H109" s="93"/>
      <c r="I109" s="93"/>
      <c r="J109" s="93"/>
      <c r="K109" s="93"/>
      <c r="L109" s="93"/>
      <c r="M109" s="7"/>
      <c r="N109" s="7"/>
      <c r="O109" s="7"/>
      <c r="P109" s="7"/>
      <c r="Q109" s="7"/>
      <c r="R109" s="7"/>
    </row>
    <row r="110" spans="2:18" s="3" customFormat="1" ht="15.75" x14ac:dyDescent="0.25">
      <c r="B110" s="6"/>
      <c r="C110" s="7"/>
      <c r="D110" s="7"/>
      <c r="E110" s="7"/>
      <c r="F110" s="7"/>
      <c r="G110" s="7"/>
      <c r="H110" s="93"/>
      <c r="I110" s="93"/>
      <c r="J110" s="93"/>
      <c r="K110" s="93"/>
      <c r="L110" s="93"/>
      <c r="M110" s="7"/>
      <c r="N110" s="7"/>
      <c r="O110" s="7"/>
      <c r="P110" s="7"/>
      <c r="Q110" s="7"/>
      <c r="R110" s="7"/>
    </row>
    <row r="111" spans="2:18" s="3" customFormat="1" ht="15.75" x14ac:dyDescent="0.25">
      <c r="B111" s="6"/>
      <c r="C111" s="7"/>
      <c r="D111" s="7"/>
      <c r="E111" s="7"/>
      <c r="F111" s="7"/>
      <c r="G111" s="7"/>
      <c r="H111" s="93"/>
      <c r="I111" s="93"/>
      <c r="J111" s="93"/>
      <c r="K111" s="93"/>
      <c r="L111" s="93"/>
      <c r="M111" s="7"/>
      <c r="N111" s="7"/>
      <c r="O111" s="7"/>
      <c r="P111" s="7"/>
      <c r="Q111" s="7"/>
      <c r="R111" s="7"/>
    </row>
    <row r="112" spans="2:18" s="3" customFormat="1" ht="15.75" x14ac:dyDescent="0.25">
      <c r="B112" s="6"/>
      <c r="C112" s="7"/>
      <c r="D112" s="7"/>
      <c r="E112" s="7"/>
      <c r="F112" s="7"/>
      <c r="G112" s="7"/>
      <c r="H112" s="93"/>
      <c r="I112" s="93"/>
      <c r="J112" s="93"/>
      <c r="K112" s="93"/>
      <c r="L112" s="93"/>
      <c r="M112" s="7"/>
      <c r="N112" s="7"/>
      <c r="O112" s="7"/>
      <c r="P112" s="7"/>
      <c r="Q112" s="7"/>
      <c r="R112" s="7"/>
    </row>
    <row r="113" spans="2:18" s="3" customFormat="1" ht="15.75" x14ac:dyDescent="0.25">
      <c r="B113" s="6"/>
      <c r="C113" s="7"/>
      <c r="D113" s="7"/>
      <c r="E113" s="7"/>
      <c r="F113" s="7"/>
      <c r="G113" s="7"/>
      <c r="H113" s="93"/>
      <c r="I113" s="93"/>
      <c r="J113" s="93"/>
      <c r="K113" s="93"/>
      <c r="L113" s="93"/>
      <c r="M113" s="7"/>
      <c r="N113" s="7"/>
      <c r="O113" s="7"/>
      <c r="P113" s="7"/>
      <c r="Q113" s="7"/>
      <c r="R113" s="7"/>
    </row>
    <row r="114" spans="2:18" s="3" customFormat="1" ht="15.75" x14ac:dyDescent="0.25">
      <c r="B114" s="6"/>
      <c r="C114" s="7"/>
      <c r="D114" s="7"/>
      <c r="E114" s="7"/>
      <c r="F114" s="7"/>
      <c r="G114" s="7"/>
      <c r="H114" s="93"/>
      <c r="I114" s="93"/>
      <c r="J114" s="93"/>
      <c r="K114" s="93"/>
      <c r="L114" s="93"/>
      <c r="M114" s="7"/>
      <c r="N114" s="7"/>
      <c r="O114" s="7"/>
      <c r="P114" s="7"/>
      <c r="Q114" s="7"/>
      <c r="R114" s="7"/>
    </row>
    <row r="115" spans="2:18" s="3" customFormat="1" ht="15.75" x14ac:dyDescent="0.25">
      <c r="B115" s="6"/>
      <c r="C115" s="7"/>
      <c r="D115" s="7"/>
      <c r="E115" s="7"/>
      <c r="F115" s="7"/>
      <c r="G115" s="7"/>
      <c r="H115" s="93"/>
      <c r="I115" s="93"/>
      <c r="J115" s="93"/>
      <c r="K115" s="93"/>
      <c r="L115" s="93"/>
      <c r="M115" s="7"/>
      <c r="N115" s="7"/>
      <c r="O115" s="7"/>
      <c r="P115" s="7"/>
      <c r="Q115" s="7"/>
      <c r="R115" s="7"/>
    </row>
    <row r="116" spans="2:18" s="3" customFormat="1" ht="15.75" x14ac:dyDescent="0.25">
      <c r="B116" s="6"/>
      <c r="C116" s="7"/>
      <c r="D116" s="7"/>
      <c r="E116" s="7"/>
      <c r="F116" s="7"/>
      <c r="G116" s="7"/>
      <c r="H116" s="93"/>
      <c r="I116" s="93"/>
      <c r="J116" s="93"/>
      <c r="K116" s="93"/>
      <c r="L116" s="93"/>
      <c r="M116" s="7"/>
      <c r="N116" s="7"/>
      <c r="O116" s="7"/>
      <c r="P116" s="7"/>
      <c r="Q116" s="7"/>
      <c r="R116" s="7"/>
    </row>
    <row r="117" spans="2:18" s="3" customFormat="1" ht="15.75" x14ac:dyDescent="0.25">
      <c r="B117" s="6"/>
      <c r="C117" s="7"/>
      <c r="D117" s="7"/>
      <c r="E117" s="7"/>
      <c r="F117" s="7"/>
      <c r="G117" s="7"/>
      <c r="H117" s="93"/>
      <c r="I117" s="93"/>
      <c r="J117" s="93"/>
      <c r="K117" s="93"/>
      <c r="L117" s="93"/>
      <c r="M117" s="7"/>
      <c r="N117" s="7"/>
      <c r="O117" s="7"/>
      <c r="P117" s="7"/>
      <c r="Q117" s="7"/>
      <c r="R117" s="7"/>
    </row>
    <row r="118" spans="2:18" s="3" customFormat="1" ht="15.75" x14ac:dyDescent="0.25">
      <c r="B118" s="6"/>
      <c r="C118" s="7"/>
      <c r="D118" s="7"/>
      <c r="E118" s="7"/>
      <c r="F118" s="7"/>
      <c r="G118" s="7"/>
      <c r="H118" s="93"/>
      <c r="I118" s="93"/>
      <c r="J118" s="93"/>
      <c r="K118" s="93"/>
      <c r="L118" s="93"/>
      <c r="M118" s="7"/>
      <c r="N118" s="7"/>
      <c r="O118" s="7"/>
      <c r="P118" s="7"/>
      <c r="Q118" s="7"/>
      <c r="R118" s="7"/>
    </row>
    <row r="119" spans="2:18" s="3" customFormat="1" ht="15.75" x14ac:dyDescent="0.25">
      <c r="B119" s="6"/>
      <c r="C119" s="7"/>
      <c r="D119" s="7"/>
      <c r="E119" s="7"/>
      <c r="F119" s="7"/>
      <c r="G119" s="7"/>
      <c r="H119" s="93"/>
      <c r="I119" s="93"/>
      <c r="J119" s="93"/>
      <c r="K119" s="93"/>
      <c r="L119" s="93"/>
      <c r="M119" s="7"/>
      <c r="N119" s="7"/>
      <c r="O119" s="7"/>
      <c r="P119" s="7"/>
      <c r="Q119" s="7"/>
      <c r="R119" s="7"/>
    </row>
    <row r="120" spans="2:18" s="3" customFormat="1" ht="15.75" x14ac:dyDescent="0.25">
      <c r="B120" s="6"/>
      <c r="C120" s="7"/>
      <c r="D120" s="7"/>
      <c r="E120" s="7"/>
      <c r="F120" s="7"/>
      <c r="G120" s="7"/>
      <c r="H120" s="93"/>
      <c r="I120" s="93"/>
      <c r="J120" s="93"/>
      <c r="K120" s="93"/>
      <c r="L120" s="93"/>
      <c r="M120" s="7"/>
      <c r="N120" s="7"/>
      <c r="O120" s="7"/>
      <c r="P120" s="7"/>
      <c r="Q120" s="7"/>
      <c r="R120" s="7"/>
    </row>
    <row r="121" spans="2:18" s="3" customFormat="1" ht="15.75" x14ac:dyDescent="0.25">
      <c r="B121" s="6"/>
      <c r="C121" s="7"/>
      <c r="D121" s="7"/>
      <c r="E121" s="7"/>
      <c r="F121" s="7"/>
      <c r="G121" s="7"/>
      <c r="H121" s="93"/>
      <c r="I121" s="93"/>
      <c r="J121" s="93"/>
      <c r="K121" s="93"/>
      <c r="L121" s="93"/>
      <c r="M121" s="7"/>
      <c r="N121" s="7"/>
      <c r="O121" s="7"/>
      <c r="P121" s="7"/>
      <c r="Q121" s="7"/>
      <c r="R121" s="7"/>
    </row>
    <row r="122" spans="2:18" s="3" customFormat="1" ht="15.75" x14ac:dyDescent="0.25">
      <c r="B122" s="6"/>
      <c r="C122" s="7"/>
      <c r="D122" s="7"/>
      <c r="E122" s="7"/>
      <c r="F122" s="7"/>
      <c r="G122" s="7"/>
      <c r="H122" s="93"/>
      <c r="I122" s="93"/>
      <c r="J122" s="93"/>
      <c r="K122" s="93"/>
      <c r="L122" s="93"/>
      <c r="M122" s="7"/>
      <c r="N122" s="7"/>
      <c r="O122" s="7"/>
      <c r="P122" s="7"/>
      <c r="Q122" s="7"/>
      <c r="R122" s="7"/>
    </row>
    <row r="123" spans="2:18" s="3" customFormat="1" ht="15.75" x14ac:dyDescent="0.25">
      <c r="B123" s="6"/>
      <c r="C123" s="7"/>
      <c r="D123" s="7"/>
      <c r="E123" s="7"/>
      <c r="F123" s="7"/>
      <c r="G123" s="7"/>
      <c r="H123" s="93"/>
      <c r="I123" s="93"/>
      <c r="J123" s="93"/>
      <c r="K123" s="93"/>
      <c r="L123" s="93"/>
      <c r="M123" s="7"/>
      <c r="N123" s="7"/>
      <c r="O123" s="7"/>
      <c r="P123" s="7"/>
      <c r="Q123" s="7"/>
      <c r="R123" s="7"/>
    </row>
    <row r="124" spans="2:18" s="3" customFormat="1" ht="15.75" x14ac:dyDescent="0.25">
      <c r="B124" s="6"/>
      <c r="C124" s="7"/>
      <c r="D124" s="7"/>
      <c r="E124" s="7"/>
      <c r="F124" s="7"/>
      <c r="G124" s="7"/>
      <c r="H124" s="93"/>
      <c r="I124" s="93"/>
      <c r="J124" s="93"/>
      <c r="K124" s="93"/>
      <c r="L124" s="93"/>
      <c r="M124" s="7"/>
      <c r="N124" s="7"/>
      <c r="O124" s="7"/>
      <c r="P124" s="7"/>
      <c r="Q124" s="7"/>
      <c r="R124" s="7"/>
    </row>
    <row r="125" spans="2:18" s="3" customFormat="1" ht="15.75" x14ac:dyDescent="0.25">
      <c r="B125" s="6"/>
      <c r="C125" s="7"/>
      <c r="D125" s="7"/>
      <c r="E125" s="7"/>
      <c r="F125" s="7"/>
      <c r="G125" s="7"/>
      <c r="H125" s="93"/>
      <c r="I125" s="93"/>
      <c r="J125" s="93"/>
      <c r="K125" s="93"/>
      <c r="L125" s="93"/>
      <c r="M125" s="7"/>
      <c r="N125" s="7"/>
      <c r="O125" s="7"/>
      <c r="P125" s="7"/>
      <c r="Q125" s="7"/>
      <c r="R125" s="7"/>
    </row>
    <row r="126" spans="2:18" s="3" customFormat="1" ht="15.75" x14ac:dyDescent="0.25">
      <c r="B126" s="6"/>
      <c r="C126" s="7"/>
      <c r="D126" s="7"/>
      <c r="E126" s="7"/>
      <c r="F126" s="7"/>
      <c r="G126" s="7"/>
      <c r="H126" s="93"/>
      <c r="I126" s="93"/>
      <c r="J126" s="93"/>
      <c r="K126" s="93"/>
      <c r="L126" s="93"/>
      <c r="M126" s="7"/>
      <c r="N126" s="7"/>
      <c r="O126" s="7"/>
      <c r="P126" s="7"/>
      <c r="Q126" s="7"/>
      <c r="R126" s="7"/>
    </row>
    <row r="127" spans="2:18" s="3" customFormat="1" ht="15.75" x14ac:dyDescent="0.25">
      <c r="B127" s="6"/>
      <c r="C127" s="7"/>
      <c r="D127" s="7"/>
      <c r="E127" s="7"/>
      <c r="F127" s="7"/>
      <c r="G127" s="7"/>
      <c r="H127" s="93"/>
      <c r="I127" s="93"/>
      <c r="J127" s="93"/>
      <c r="K127" s="93"/>
      <c r="L127" s="93"/>
      <c r="M127" s="7"/>
      <c r="N127" s="7"/>
      <c r="O127" s="7"/>
      <c r="P127" s="7"/>
      <c r="Q127" s="7"/>
      <c r="R127" s="7"/>
    </row>
    <row r="128" spans="2:18" s="3" customFormat="1" ht="15.75" x14ac:dyDescent="0.25">
      <c r="B128" s="6"/>
      <c r="C128" s="7"/>
      <c r="D128" s="7"/>
      <c r="E128" s="7"/>
      <c r="F128" s="7"/>
      <c r="G128" s="7"/>
      <c r="H128" s="93"/>
      <c r="I128" s="93"/>
      <c r="J128" s="93"/>
      <c r="K128" s="93"/>
      <c r="L128" s="93"/>
      <c r="M128" s="7"/>
      <c r="N128" s="7"/>
      <c r="O128" s="7"/>
      <c r="P128" s="7"/>
      <c r="Q128" s="7"/>
      <c r="R128" s="7"/>
    </row>
    <row r="129" spans="2:18" s="3" customFormat="1" x14ac:dyDescent="0.2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 s="3" customFormat="1" x14ac:dyDescent="0.2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 s="3" customFormat="1" x14ac:dyDescent="0.2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 s="3" customFormat="1" x14ac:dyDescent="0.2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 s="3" customFormat="1" x14ac:dyDescent="0.2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 s="3" customFormat="1" x14ac:dyDescent="0.2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 s="3" customFormat="1" x14ac:dyDescent="0.2"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 s="3" customFormat="1" x14ac:dyDescent="0.2"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 s="3" customFormat="1" x14ac:dyDescent="0.2"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 s="3" customFormat="1" x14ac:dyDescent="0.2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 s="3" customFormat="1" x14ac:dyDescent="0.2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 s="3" customFormat="1" x14ac:dyDescent="0.2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 s="3" customFormat="1" x14ac:dyDescent="0.2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 s="3" customFormat="1" x14ac:dyDescent="0.2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 s="3" customFormat="1" x14ac:dyDescent="0.2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 s="3" customFormat="1" x14ac:dyDescent="0.2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 s="3" customFormat="1" x14ac:dyDescent="0.2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 s="3" customFormat="1" x14ac:dyDescent="0.2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 s="3" customFormat="1" x14ac:dyDescent="0.2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 s="3" customFormat="1" x14ac:dyDescent="0.2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 s="3" customFormat="1" x14ac:dyDescent="0.2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 s="3" customFormat="1" x14ac:dyDescent="0.2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 s="3" customFormat="1" x14ac:dyDescent="0.2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 s="3" customFormat="1" x14ac:dyDescent="0.2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 s="3" customFormat="1" x14ac:dyDescent="0.2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 s="3" customFormat="1" x14ac:dyDescent="0.2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 s="3" customFormat="1" x14ac:dyDescent="0.2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 s="3" customFormat="1" x14ac:dyDescent="0.2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 s="3" customFormat="1" x14ac:dyDescent="0.2"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 s="3" customFormat="1" x14ac:dyDescent="0.2"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11"/>
      <c r="O158" s="11"/>
      <c r="P158" s="11"/>
      <c r="Q158" s="11"/>
      <c r="R158" s="7"/>
    </row>
    <row r="159" spans="2:18" s="3" customFormat="1" x14ac:dyDescent="0.2"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11"/>
      <c r="O159" s="11"/>
      <c r="P159" s="11"/>
      <c r="Q159" s="11"/>
      <c r="R159" s="7"/>
    </row>
    <row r="160" spans="2:18" s="3" customFormat="1" x14ac:dyDescent="0.2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11"/>
      <c r="O160" s="11"/>
      <c r="P160" s="11"/>
      <c r="Q160" s="11"/>
      <c r="R160" s="7"/>
    </row>
    <row r="161" spans="2:18" s="3" customFormat="1" x14ac:dyDescent="0.2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11"/>
      <c r="O161" s="11"/>
      <c r="P161" s="11"/>
      <c r="Q161" s="11"/>
      <c r="R161" s="7"/>
    </row>
    <row r="162" spans="2:18" s="3" customFormat="1" x14ac:dyDescent="0.2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11"/>
      <c r="O162" s="11"/>
      <c r="P162" s="11"/>
      <c r="Q162" s="11"/>
      <c r="R162" s="7"/>
    </row>
    <row r="163" spans="2:18" s="3" customFormat="1" x14ac:dyDescent="0.2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1"/>
      <c r="O163" s="11"/>
      <c r="P163" s="11"/>
      <c r="Q163" s="11"/>
      <c r="R163" s="7"/>
    </row>
    <row r="164" spans="2:18" s="3" customFormat="1" x14ac:dyDescent="0.2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1"/>
      <c r="O164" s="11"/>
      <c r="P164" s="11"/>
      <c r="Q164" s="11"/>
      <c r="R164" s="7"/>
    </row>
    <row r="165" spans="2:18" s="3" customFormat="1" x14ac:dyDescent="0.2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1"/>
      <c r="O165" s="11"/>
      <c r="P165" s="11"/>
      <c r="Q165" s="11"/>
      <c r="R165" s="7"/>
    </row>
    <row r="166" spans="2:18" s="3" customFormat="1" x14ac:dyDescent="0.2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1"/>
      <c r="O166" s="11"/>
      <c r="P166" s="11"/>
      <c r="Q166" s="11"/>
      <c r="R166" s="7"/>
    </row>
    <row r="167" spans="2:18" s="3" customFormat="1" x14ac:dyDescent="0.2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1"/>
      <c r="O167" s="11"/>
      <c r="P167" s="11"/>
      <c r="Q167" s="11"/>
      <c r="R167" s="7"/>
    </row>
    <row r="168" spans="2:18" s="3" customFormat="1" x14ac:dyDescent="0.2">
      <c r="B168" s="6"/>
      <c r="C168" s="7"/>
      <c r="D168" s="7"/>
      <c r="E168" s="7"/>
      <c r="F168" s="7"/>
      <c r="G168" s="7"/>
      <c r="H168" s="11"/>
      <c r="I168" s="11"/>
      <c r="J168" s="11"/>
      <c r="K168" s="11"/>
      <c r="L168" s="11"/>
      <c r="M168" s="7"/>
      <c r="N168" s="11"/>
      <c r="O168" s="11"/>
      <c r="P168" s="11"/>
      <c r="Q168" s="11"/>
      <c r="R168" s="7"/>
    </row>
    <row r="169" spans="2:18" s="3" customFormat="1" x14ac:dyDescent="0.2">
      <c r="B169" s="6"/>
      <c r="C169" s="7"/>
      <c r="D169" s="7"/>
      <c r="E169" s="7"/>
      <c r="F169" s="7"/>
      <c r="G169" s="7"/>
      <c r="H169" s="11"/>
      <c r="I169" s="11"/>
      <c r="J169" s="11"/>
      <c r="K169" s="11"/>
      <c r="L169" s="11"/>
      <c r="M169" s="7"/>
      <c r="N169" s="11"/>
      <c r="O169" s="11"/>
      <c r="P169" s="11"/>
      <c r="Q169" s="11"/>
      <c r="R169" s="7"/>
    </row>
  </sheetData>
  <sheetProtection sheet="1" objects="1" scenarios="1" formatCells="0" formatColumns="0" formatRows="0"/>
  <protectedRanges>
    <protectedRange sqref="C13:E65" name="Calendário" securityDescriptor="O:WDG:WDD:(A;;CC;;;S-1-5-21-997557051-3595405816-2986045314-1001)"/>
    <protectedRange sqref="K6 K8 K10 K12 K14" name="Dados" securityDescriptor="O:WDG:WDD:(A;;CC;;;S-1-5-21-997557051-3595405816-2986045314-1001)"/>
  </protectedRanges>
  <dataConsolidate/>
  <mergeCells count="50">
    <mergeCell ref="B6:C7"/>
    <mergeCell ref="B8:C10"/>
    <mergeCell ref="D6:F10"/>
    <mergeCell ref="J2:L4"/>
    <mergeCell ref="I30:K30"/>
    <mergeCell ref="I27:K27"/>
    <mergeCell ref="I28:K28"/>
    <mergeCell ref="I29:K29"/>
    <mergeCell ref="H2:I2"/>
    <mergeCell ref="H3:I4"/>
    <mergeCell ref="B2:C2"/>
    <mergeCell ref="D2:F4"/>
    <mergeCell ref="B3:C4"/>
    <mergeCell ref="I39:K39"/>
    <mergeCell ref="H22:J23"/>
    <mergeCell ref="H24:J26"/>
    <mergeCell ref="K22:L26"/>
    <mergeCell ref="I6:J6"/>
    <mergeCell ref="I18:J18"/>
    <mergeCell ref="I16:J16"/>
    <mergeCell ref="I14:J14"/>
    <mergeCell ref="I12:J12"/>
    <mergeCell ref="I10:J10"/>
    <mergeCell ref="I8:J8"/>
    <mergeCell ref="I32:K32"/>
    <mergeCell ref="I31:K31"/>
    <mergeCell ref="I54:K54"/>
    <mergeCell ref="O44:P46"/>
    <mergeCell ref="N49:O50"/>
    <mergeCell ref="P49:Q51"/>
    <mergeCell ref="N51:O51"/>
    <mergeCell ref="I53:K53"/>
    <mergeCell ref="I44:K44"/>
    <mergeCell ref="I49:K52"/>
    <mergeCell ref="I40:K42"/>
    <mergeCell ref="I45:K47"/>
    <mergeCell ref="N2:O2"/>
    <mergeCell ref="P2:Q3"/>
    <mergeCell ref="N3:O3"/>
    <mergeCell ref="N28:O29"/>
    <mergeCell ref="P28:Q30"/>
    <mergeCell ref="N30:O30"/>
    <mergeCell ref="O32:P32"/>
    <mergeCell ref="O35:P35"/>
    <mergeCell ref="I43:K43"/>
    <mergeCell ref="I34:K35"/>
    <mergeCell ref="I36:K38"/>
    <mergeCell ref="N42:O42"/>
    <mergeCell ref="P40:Q42"/>
    <mergeCell ref="N40:O41"/>
  </mergeCells>
  <conditionalFormatting sqref="D13:D70">
    <cfRule type="expression" dxfId="556" priority="1">
      <formula>AND(NOT(ISBLANK($D13)),COUNTIF(Lista_tipo,$D13)=0)</formula>
    </cfRule>
  </conditionalFormatting>
  <conditionalFormatting sqref="C13:E70">
    <cfRule type="expression" dxfId="555" priority="2">
      <formula>$D13=FERIADO</formula>
    </cfRule>
    <cfRule type="expression" dxfId="554" priority="3">
      <formula>$D13=DISPENSADO</formula>
    </cfRule>
    <cfRule type="expression" dxfId="553" priority="4">
      <formula>$D13=FERIAS</formula>
    </cfRule>
    <cfRule type="expression" dxfId="552" priority="5">
      <formula>$D13=MEIO_COMPENSADO</formula>
    </cfRule>
    <cfRule type="expression" dxfId="551" priority="6">
      <formula>$D13=COMPENSADO</formula>
    </cfRule>
    <cfRule type="expression" dxfId="550" priority="7">
      <formula>$D13=EXPEDIENTE_CORRIDO</formula>
    </cfRule>
    <cfRule type="expression" dxfId="549" priority="8">
      <formula>OR(NOT(ISBLANK($C13:$E13)))</formula>
    </cfRule>
    <cfRule type="expression" dxfId="548" priority="9">
      <formula>AND(ISBLANK($C13:$E13))</formula>
    </cfRule>
  </conditionalFormatting>
  <dataValidations count="3">
    <dataValidation type="list" allowBlank="1" showInputMessage="1" showErrorMessage="1" sqref="K14" xr:uid="{00000000-0002-0000-0000-000001000000}">
      <formula1>"Comercial,Construção"</formula1>
    </dataValidation>
    <dataValidation type="date" operator="greaterThanOrEqual" allowBlank="1" showInputMessage="1" showErrorMessage="1" errorTitle="Dado inserido inválido!" error="A data inserida nessa célula precisa ser mais recente que 01/01/1980 e define o ano da planilha." promptTitle="Data principal" prompt="Data que define o ano da planilha." sqref="C13" xr:uid="{2FF82070-006D-4DC6-8473-5898361C51E1}">
      <formula1>27759</formula1>
    </dataValidation>
    <dataValidation type="list" allowBlank="1" showInputMessage="1" showErrorMessage="1" errorTitle="Opção inválida" error="Este campo precisa conter uma das opções disponíveis na coluna TIPO na segunda tabela de Legendas ao lado." sqref="D13:D65" xr:uid="{7DB26ACA-D9D5-486D-B9DC-2285B9BA22EB}">
      <formula1>Lista_tipo</formula1>
    </dataValidation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impaPlanilha">
                <anchor moveWithCells="1" sizeWithCells="1">
                  <from>
                    <xdr:col>3</xdr:col>
                    <xdr:colOff>476250</xdr:colOff>
                    <xdr:row>1</xdr:row>
                    <xdr:rowOff>152400</xdr:rowOff>
                  </from>
                  <to>
                    <xdr:col>4</xdr:col>
                    <xdr:colOff>1019175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144AE-7D25-42D6-939D-2BA432CFEAF0}">
  <sheetPr codeName="Planilha2">
    <tabColor rgb="FF00B050"/>
  </sheetPr>
  <dimension ref="A1:BI152"/>
  <sheetViews>
    <sheetView zoomScale="70" zoomScaleNormal="70" workbookViewId="0"/>
  </sheetViews>
  <sheetFormatPr defaultRowHeight="12" x14ac:dyDescent="0.2"/>
  <cols>
    <col min="1" max="1" width="13" style="10" customWidth="1"/>
    <col min="2" max="2" width="22.7109375" style="10" bestFit="1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3.140625" style="12" bestFit="1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109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>PROPER(IF(WEEKDAY($C2,2)&gt;5,TEXT($C2,"dddd"),LEFT(TEXT($C2,"dddd"),LEN(TEXT($C2,"dddd"))-6)))</f>
        <v>Quarta</v>
      </c>
      <c r="B2" s="70" t="s">
        <v>25</v>
      </c>
      <c r="C2" s="71">
        <v>44196</v>
      </c>
      <c r="D2" s="45"/>
      <c r="E2" s="72"/>
      <c r="F2" s="72"/>
      <c r="G2" s="46"/>
      <c r="H2" s="47">
        <f t="shared" ref="H2:H32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si="1">IF(OR(AND(ISBLANK($E2),ISBLANK($F2)),$B:$B=FERIADO,$B:$B="FIM DE SEMANA",($F2-$E2)&gt;=TRUNC("1:00",6)),
  E2,
  "12:00")</f>
        <v>0</v>
      </c>
      <c r="J2" s="48">
        <f t="shared" ref="J2:J32" si="2">IF(OR(AND(ISBLANK($E2),ISBLANK($F2)),$B:$B=FERIADO,$B:$B="FIM DE SEMANA",($F2-$E2)&gt;=TRUNC("1:00",6)),
  F2,
  "13:00")</f>
        <v>0</v>
      </c>
      <c r="K2" s="49">
        <f t="shared" ref="K2:K32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>(I2-H2)+(K2-J2)</f>
        <v>0</v>
      </c>
      <c r="M2" s="74">
        <f t="shared" ref="M2:M32" si="4">IF(OR(L2=0,$B:$B="FIM DE SEMANA",$B:$B=FERIADO),
       0,
       IF(AND(TIPO_DE_PONTO="Construção",$A:$A="Sexta"),
           "7:00"-H2,
           "7:30"-H2))</f>
        <v>0</v>
      </c>
      <c r="N2" s="74">
        <f t="shared" ref="N2:N32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>IF(L2=0,
      0,
      TRUNC((-1)*SUMIF(M2:O2,"&lt;0")-Q2-R2-S2,6))</f>
        <v>0</v>
      </c>
      <c r="Q2" s="76"/>
      <c r="R2" s="77"/>
      <c r="S2" s="78"/>
      <c r="T2" s="75">
        <f t="shared" ref="T2:T32" si="7">IF(OR($B:$B="FIM DE SEMANA",$B:$B=FERIADO),
       TRUNC(L2-U2-V2-W2-X2,6),
       TRUNC(SUMIF(M2:O2,"&gt;0")-U2-V2-W2-X2,6))</f>
        <v>0</v>
      </c>
      <c r="U2" s="77"/>
      <c r="V2" s="77"/>
      <c r="W2" s="79"/>
      <c r="X2" s="181"/>
      <c r="Y2" s="166"/>
      <c r="Z2" s="156" t="s">
        <v>110</v>
      </c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si="8">PROPER(IF(WEEKDAY($C3,2)&gt;5,TEXT($C3,"dddd"),LEFT(TEXT($C3,"dddd"),LEN(TEXT($C3,"dddd"))-6)))</f>
        <v>Quinta</v>
      </c>
      <c r="B3" s="34" t="s">
        <v>20</v>
      </c>
      <c r="C3" s="35">
        <f>IF(MONTH(C2+1)=MONTH(C2),C2+1,"")</f>
        <v>44197</v>
      </c>
      <c r="D3" s="50"/>
      <c r="E3" s="52"/>
      <c r="F3" s="52"/>
      <c r="G3" s="51"/>
      <c r="H3" s="161">
        <f t="shared" si="0"/>
        <v>0</v>
      </c>
      <c r="I3" s="141">
        <f t="shared" si="1"/>
        <v>0</v>
      </c>
      <c r="J3" s="141">
        <f t="shared" si="2"/>
        <v>0</v>
      </c>
      <c r="K3" s="170">
        <f t="shared" si="3"/>
        <v>0</v>
      </c>
      <c r="L3" s="163">
        <f t="shared" ref="L3:L32" si="9">(I3-H3)+(K3-J3)</f>
        <v>0</v>
      </c>
      <c r="M3" s="142">
        <f t="shared" si="4"/>
        <v>0</v>
      </c>
      <c r="N3" s="142">
        <f t="shared" si="5"/>
        <v>0</v>
      </c>
      <c r="O3" s="172">
        <f t="shared" si="6"/>
        <v>0</v>
      </c>
      <c r="P3" s="80">
        <f t="shared" ref="P3:P32" si="10">IF(L3=0,
      0,
      TRUNC((-1)*SUMIF(M3:O3,"&lt;0")-Q3-R3-S3,6))</f>
        <v>0</v>
      </c>
      <c r="Q3" s="41"/>
      <c r="R3" s="77"/>
      <c r="S3" s="43"/>
      <c r="T3" s="80">
        <f t="shared" si="7"/>
        <v>0</v>
      </c>
      <c r="U3" s="42"/>
      <c r="V3" s="42"/>
      <c r="W3" s="42"/>
      <c r="X3" s="43"/>
      <c r="Y3" s="167"/>
      <c r="Z3" s="157" t="s">
        <v>106</v>
      </c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si="8"/>
        <v>Sexta</v>
      </c>
      <c r="B4" s="34" t="s">
        <v>24</v>
      </c>
      <c r="C4" s="35">
        <f t="shared" ref="C4:C32" si="11">IF(MONTH(C3+1)=MONTH(C3),C3+1,"")</f>
        <v>44198</v>
      </c>
      <c r="D4" s="50"/>
      <c r="E4" s="52"/>
      <c r="F4" s="52"/>
      <c r="G4" s="51"/>
      <c r="H4" s="161">
        <f t="shared" si="0"/>
        <v>0</v>
      </c>
      <c r="I4" s="141">
        <f t="shared" si="1"/>
        <v>0</v>
      </c>
      <c r="J4" s="141">
        <f t="shared" si="2"/>
        <v>0</v>
      </c>
      <c r="K4" s="170">
        <f t="shared" si="3"/>
        <v>0</v>
      </c>
      <c r="L4" s="163">
        <f t="shared" si="9"/>
        <v>0</v>
      </c>
      <c r="M4" s="142">
        <f t="shared" si="4"/>
        <v>0</v>
      </c>
      <c r="N4" s="142">
        <f t="shared" si="5"/>
        <v>0</v>
      </c>
      <c r="O4" s="172">
        <f t="shared" si="6"/>
        <v>0</v>
      </c>
      <c r="P4" s="80">
        <f t="shared" si="10"/>
        <v>0</v>
      </c>
      <c r="Q4" s="41"/>
      <c r="R4" s="42"/>
      <c r="S4" s="43"/>
      <c r="T4" s="80">
        <f t="shared" si="7"/>
        <v>0</v>
      </c>
      <c r="U4" s="42"/>
      <c r="V4" s="42"/>
      <c r="W4" s="44"/>
      <c r="X4" s="175"/>
      <c r="Y4" s="167"/>
      <c r="Z4" s="158" t="s">
        <v>105</v>
      </c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si="8"/>
        <v>Sábado</v>
      </c>
      <c r="B5" s="34" t="s">
        <v>23</v>
      </c>
      <c r="C5" s="35">
        <f t="shared" si="11"/>
        <v>44199</v>
      </c>
      <c r="D5" s="50"/>
      <c r="E5" s="52"/>
      <c r="F5" s="52"/>
      <c r="G5" s="51"/>
      <c r="H5" s="161">
        <f t="shared" si="0"/>
        <v>0</v>
      </c>
      <c r="I5" s="141">
        <f t="shared" si="1"/>
        <v>0</v>
      </c>
      <c r="J5" s="141">
        <f t="shared" si="2"/>
        <v>0</v>
      </c>
      <c r="K5" s="170">
        <f t="shared" si="3"/>
        <v>0</v>
      </c>
      <c r="L5" s="163">
        <f t="shared" si="9"/>
        <v>0</v>
      </c>
      <c r="M5" s="142">
        <f t="shared" si="4"/>
        <v>0</v>
      </c>
      <c r="N5" s="142">
        <f t="shared" si="5"/>
        <v>0</v>
      </c>
      <c r="O5" s="172">
        <f t="shared" si="6"/>
        <v>0</v>
      </c>
      <c r="P5" s="80">
        <f t="shared" si="10"/>
        <v>0</v>
      </c>
      <c r="Q5" s="41"/>
      <c r="R5" s="42"/>
      <c r="S5" s="43"/>
      <c r="T5" s="80">
        <f t="shared" si="7"/>
        <v>0</v>
      </c>
      <c r="U5" s="42"/>
      <c r="V5" s="42"/>
      <c r="W5" s="42"/>
      <c r="X5" s="43"/>
      <c r="Y5" s="167"/>
      <c r="Z5" s="158" t="s">
        <v>104</v>
      </c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si="8"/>
        <v>Domingo</v>
      </c>
      <c r="B6" s="34" t="s">
        <v>102</v>
      </c>
      <c r="C6" s="35">
        <f t="shared" si="11"/>
        <v>44200</v>
      </c>
      <c r="D6" s="50"/>
      <c r="E6" s="52"/>
      <c r="F6" s="52"/>
      <c r="G6" s="51"/>
      <c r="H6" s="161">
        <f t="shared" si="0"/>
        <v>0</v>
      </c>
      <c r="I6" s="141">
        <f t="shared" si="1"/>
        <v>0</v>
      </c>
      <c r="J6" s="141">
        <f t="shared" si="2"/>
        <v>0</v>
      </c>
      <c r="K6" s="170">
        <f t="shared" si="3"/>
        <v>0</v>
      </c>
      <c r="L6" s="163">
        <f t="shared" si="9"/>
        <v>0</v>
      </c>
      <c r="M6" s="142">
        <f t="shared" si="4"/>
        <v>0</v>
      </c>
      <c r="N6" s="142">
        <f t="shared" si="5"/>
        <v>0</v>
      </c>
      <c r="O6" s="172">
        <f t="shared" si="6"/>
        <v>0</v>
      </c>
      <c r="P6" s="80">
        <f t="shared" si="10"/>
        <v>0</v>
      </c>
      <c r="Q6" s="41"/>
      <c r="R6" s="42"/>
      <c r="S6" s="43"/>
      <c r="T6" s="80">
        <f t="shared" si="7"/>
        <v>0</v>
      </c>
      <c r="U6" s="42"/>
      <c r="V6" s="42"/>
      <c r="W6" s="42"/>
      <c r="X6" s="43"/>
      <c r="Y6" s="167"/>
      <c r="Z6" s="158" t="s">
        <v>107</v>
      </c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si="8"/>
        <v>Segunda</v>
      </c>
      <c r="B7" s="34" t="s">
        <v>101</v>
      </c>
      <c r="C7" s="35">
        <f t="shared" si="11"/>
        <v>44201</v>
      </c>
      <c r="D7" s="50">
        <v>0.3125</v>
      </c>
      <c r="E7" s="52">
        <v>0.5</v>
      </c>
      <c r="F7" s="52">
        <v>0.5625</v>
      </c>
      <c r="G7" s="51">
        <v>0.70833333333333337</v>
      </c>
      <c r="H7" s="161">
        <f t="shared" si="0"/>
        <v>0.3125</v>
      </c>
      <c r="I7" s="141">
        <f t="shared" si="1"/>
        <v>0.5</v>
      </c>
      <c r="J7" s="141">
        <f t="shared" si="2"/>
        <v>0.5625</v>
      </c>
      <c r="K7" s="170">
        <f t="shared" si="3"/>
        <v>0.70833333333333337</v>
      </c>
      <c r="L7" s="163">
        <f t="shared" si="9"/>
        <v>0.33333333333333337</v>
      </c>
      <c r="M7" s="142">
        <f t="shared" si="4"/>
        <v>0</v>
      </c>
      <c r="N7" s="142">
        <f t="shared" si="5"/>
        <v>0</v>
      </c>
      <c r="O7" s="172">
        <f t="shared" si="6"/>
        <v>0</v>
      </c>
      <c r="P7" s="80">
        <f t="shared" si="10"/>
        <v>0</v>
      </c>
      <c r="Q7" s="41"/>
      <c r="R7" s="42"/>
      <c r="S7" s="43"/>
      <c r="T7" s="80">
        <f t="shared" si="7"/>
        <v>0</v>
      </c>
      <c r="U7" s="42"/>
      <c r="V7" s="42"/>
      <c r="W7" s="42"/>
      <c r="X7" s="43"/>
      <c r="Y7" s="167"/>
      <c r="Z7" s="158" t="s">
        <v>113</v>
      </c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si="8"/>
        <v>Terça</v>
      </c>
      <c r="B8" s="34" t="s">
        <v>33</v>
      </c>
      <c r="C8" s="35">
        <f t="shared" si="11"/>
        <v>44202</v>
      </c>
      <c r="D8" s="50">
        <v>0.3125</v>
      </c>
      <c r="E8" s="52"/>
      <c r="F8" s="52"/>
      <c r="G8" s="51">
        <v>0.5625</v>
      </c>
      <c r="H8" s="161">
        <f t="shared" si="0"/>
        <v>0.3125</v>
      </c>
      <c r="I8" s="141">
        <f t="shared" si="1"/>
        <v>0</v>
      </c>
      <c r="J8" s="141">
        <f t="shared" si="2"/>
        <v>0</v>
      </c>
      <c r="K8" s="170">
        <f t="shared" si="3"/>
        <v>0.5625</v>
      </c>
      <c r="L8" s="163">
        <f t="shared" si="9"/>
        <v>0.25</v>
      </c>
      <c r="M8" s="142">
        <f t="shared" si="4"/>
        <v>0</v>
      </c>
      <c r="N8" s="142">
        <f t="shared" si="5"/>
        <v>0</v>
      </c>
      <c r="O8" s="172">
        <f t="shared" si="6"/>
        <v>0</v>
      </c>
      <c r="P8" s="80">
        <f t="shared" si="10"/>
        <v>0</v>
      </c>
      <c r="Q8" s="41"/>
      <c r="R8" s="42"/>
      <c r="S8" s="43"/>
      <c r="T8" s="80">
        <f t="shared" si="7"/>
        <v>0</v>
      </c>
      <c r="U8" s="42"/>
      <c r="V8" s="42"/>
      <c r="W8" s="44"/>
      <c r="X8" s="175"/>
      <c r="Y8" s="167"/>
      <c r="Z8" s="158" t="s">
        <v>112</v>
      </c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si="8"/>
        <v>Quarta</v>
      </c>
      <c r="B9" s="34" t="s">
        <v>135</v>
      </c>
      <c r="C9" s="35">
        <f t="shared" si="11"/>
        <v>44203</v>
      </c>
      <c r="D9" s="50"/>
      <c r="E9" s="52"/>
      <c r="F9" s="52"/>
      <c r="G9" s="51"/>
      <c r="H9" s="161">
        <f t="shared" si="0"/>
        <v>0</v>
      </c>
      <c r="I9" s="141">
        <f t="shared" si="1"/>
        <v>0</v>
      </c>
      <c r="J9" s="141">
        <f t="shared" si="2"/>
        <v>0</v>
      </c>
      <c r="K9" s="170">
        <f t="shared" si="3"/>
        <v>0</v>
      </c>
      <c r="L9" s="163">
        <f t="shared" si="9"/>
        <v>0</v>
      </c>
      <c r="M9" s="142">
        <f t="shared" si="4"/>
        <v>0</v>
      </c>
      <c r="N9" s="142">
        <f t="shared" si="5"/>
        <v>0</v>
      </c>
      <c r="O9" s="172">
        <f t="shared" si="6"/>
        <v>0</v>
      </c>
      <c r="P9" s="80">
        <f t="shared" si="10"/>
        <v>0</v>
      </c>
      <c r="Q9" s="41"/>
      <c r="R9" s="42"/>
      <c r="S9" s="43"/>
      <c r="T9" s="80">
        <f t="shared" si="7"/>
        <v>0</v>
      </c>
      <c r="U9" s="42"/>
      <c r="V9" s="42"/>
      <c r="W9" s="44"/>
      <c r="X9" s="175"/>
      <c r="Y9" s="167"/>
      <c r="Z9" s="158" t="s">
        <v>154</v>
      </c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si="8"/>
        <v>Quinta</v>
      </c>
      <c r="B10" s="34" t="s">
        <v>101</v>
      </c>
      <c r="C10" s="35">
        <f t="shared" si="11"/>
        <v>44204</v>
      </c>
      <c r="D10" s="50"/>
      <c r="E10" s="52"/>
      <c r="F10" s="52"/>
      <c r="G10" s="51"/>
      <c r="H10" s="161">
        <f t="shared" si="0"/>
        <v>0</v>
      </c>
      <c r="I10" s="141">
        <f t="shared" si="1"/>
        <v>0</v>
      </c>
      <c r="J10" s="141">
        <f t="shared" si="2"/>
        <v>0</v>
      </c>
      <c r="K10" s="170">
        <f t="shared" si="3"/>
        <v>0</v>
      </c>
      <c r="L10" s="163">
        <f t="shared" si="9"/>
        <v>0</v>
      </c>
      <c r="M10" s="142">
        <f t="shared" si="4"/>
        <v>0</v>
      </c>
      <c r="N10" s="142">
        <f t="shared" si="5"/>
        <v>0</v>
      </c>
      <c r="O10" s="172">
        <f t="shared" si="6"/>
        <v>0</v>
      </c>
      <c r="P10" s="80">
        <f t="shared" si="10"/>
        <v>0</v>
      </c>
      <c r="Q10" s="41"/>
      <c r="R10" s="42"/>
      <c r="S10" s="43"/>
      <c r="T10" s="80">
        <f t="shared" si="7"/>
        <v>0</v>
      </c>
      <c r="U10" s="42"/>
      <c r="V10" s="42"/>
      <c r="W10" s="42"/>
      <c r="X10" s="43"/>
      <c r="Y10" s="167"/>
      <c r="Z10" s="15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si="8"/>
        <v>Sexta</v>
      </c>
      <c r="B11" s="34" t="s">
        <v>101</v>
      </c>
      <c r="C11" s="35">
        <f t="shared" si="11"/>
        <v>44205</v>
      </c>
      <c r="D11" s="50"/>
      <c r="E11" s="52"/>
      <c r="F11" s="52"/>
      <c r="G11" s="51"/>
      <c r="H11" s="161">
        <f t="shared" si="0"/>
        <v>0</v>
      </c>
      <c r="I11" s="141">
        <f t="shared" si="1"/>
        <v>0</v>
      </c>
      <c r="J11" s="141">
        <f t="shared" si="2"/>
        <v>0</v>
      </c>
      <c r="K11" s="170">
        <f t="shared" si="3"/>
        <v>0</v>
      </c>
      <c r="L11" s="163">
        <f t="shared" si="9"/>
        <v>0</v>
      </c>
      <c r="M11" s="142">
        <f t="shared" si="4"/>
        <v>0</v>
      </c>
      <c r="N11" s="142">
        <f t="shared" si="5"/>
        <v>0</v>
      </c>
      <c r="O11" s="172">
        <f t="shared" si="6"/>
        <v>0</v>
      </c>
      <c r="P11" s="80">
        <f t="shared" si="10"/>
        <v>0</v>
      </c>
      <c r="Q11" s="41"/>
      <c r="R11" s="42"/>
      <c r="S11" s="43"/>
      <c r="T11" s="80">
        <f t="shared" si="7"/>
        <v>0</v>
      </c>
      <c r="U11" s="42"/>
      <c r="V11" s="42"/>
      <c r="W11" s="42"/>
      <c r="X11" s="43"/>
      <c r="Y11" s="167"/>
      <c r="Z11" s="15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si="8"/>
        <v>Sábado</v>
      </c>
      <c r="B12" s="34" t="s">
        <v>102</v>
      </c>
      <c r="C12" s="35">
        <f t="shared" si="11"/>
        <v>44206</v>
      </c>
      <c r="D12" s="50"/>
      <c r="E12" s="52"/>
      <c r="F12" s="52"/>
      <c r="G12" s="51"/>
      <c r="H12" s="161">
        <f t="shared" si="0"/>
        <v>0</v>
      </c>
      <c r="I12" s="141">
        <f t="shared" si="1"/>
        <v>0</v>
      </c>
      <c r="J12" s="141">
        <f t="shared" si="2"/>
        <v>0</v>
      </c>
      <c r="K12" s="170">
        <f t="shared" si="3"/>
        <v>0</v>
      </c>
      <c r="L12" s="163">
        <f t="shared" si="9"/>
        <v>0</v>
      </c>
      <c r="M12" s="142">
        <f t="shared" si="4"/>
        <v>0</v>
      </c>
      <c r="N12" s="142">
        <f t="shared" si="5"/>
        <v>0</v>
      </c>
      <c r="O12" s="172">
        <f t="shared" si="6"/>
        <v>0</v>
      </c>
      <c r="P12" s="80">
        <f t="shared" si="10"/>
        <v>0</v>
      </c>
      <c r="Q12" s="41"/>
      <c r="R12" s="42"/>
      <c r="S12" s="43"/>
      <c r="T12" s="80">
        <f t="shared" si="7"/>
        <v>0</v>
      </c>
      <c r="U12" s="42"/>
      <c r="V12" s="42"/>
      <c r="W12" s="42"/>
      <c r="X12" s="43"/>
      <c r="Y12" s="167"/>
      <c r="Z12" s="15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si="8"/>
        <v>Domingo</v>
      </c>
      <c r="B13" s="34" t="s">
        <v>102</v>
      </c>
      <c r="C13" s="35">
        <f t="shared" si="11"/>
        <v>44207</v>
      </c>
      <c r="D13" s="50"/>
      <c r="E13" s="52"/>
      <c r="F13" s="52"/>
      <c r="G13" s="51"/>
      <c r="H13" s="161">
        <f t="shared" si="0"/>
        <v>0</v>
      </c>
      <c r="I13" s="141">
        <f t="shared" si="1"/>
        <v>0</v>
      </c>
      <c r="J13" s="141">
        <f t="shared" si="2"/>
        <v>0</v>
      </c>
      <c r="K13" s="170">
        <f t="shared" si="3"/>
        <v>0</v>
      </c>
      <c r="L13" s="163">
        <f t="shared" si="9"/>
        <v>0</v>
      </c>
      <c r="M13" s="142">
        <f t="shared" si="4"/>
        <v>0</v>
      </c>
      <c r="N13" s="142">
        <f t="shared" si="5"/>
        <v>0</v>
      </c>
      <c r="O13" s="172">
        <f t="shared" si="6"/>
        <v>0</v>
      </c>
      <c r="P13" s="80">
        <f t="shared" si="10"/>
        <v>0</v>
      </c>
      <c r="Q13" s="41"/>
      <c r="R13" s="42"/>
      <c r="S13" s="43"/>
      <c r="T13" s="80">
        <f t="shared" si="7"/>
        <v>0</v>
      </c>
      <c r="U13" s="42"/>
      <c r="V13" s="42"/>
      <c r="W13" s="42"/>
      <c r="X13" s="43"/>
      <c r="Y13" s="167"/>
      <c r="Z13" s="15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si="8"/>
        <v>Segunda</v>
      </c>
      <c r="B14" s="34" t="s">
        <v>101</v>
      </c>
      <c r="C14" s="35">
        <f t="shared" si="11"/>
        <v>44208</v>
      </c>
      <c r="D14" s="50"/>
      <c r="E14" s="52"/>
      <c r="F14" s="52"/>
      <c r="G14" s="51"/>
      <c r="H14" s="161">
        <f t="shared" si="0"/>
        <v>0</v>
      </c>
      <c r="I14" s="141">
        <f t="shared" si="1"/>
        <v>0</v>
      </c>
      <c r="J14" s="141">
        <f t="shared" si="2"/>
        <v>0</v>
      </c>
      <c r="K14" s="170">
        <f t="shared" si="3"/>
        <v>0</v>
      </c>
      <c r="L14" s="163">
        <f t="shared" si="9"/>
        <v>0</v>
      </c>
      <c r="M14" s="142">
        <f t="shared" si="4"/>
        <v>0</v>
      </c>
      <c r="N14" s="142">
        <f t="shared" si="5"/>
        <v>0</v>
      </c>
      <c r="O14" s="172">
        <f t="shared" si="6"/>
        <v>0</v>
      </c>
      <c r="P14" s="80">
        <f t="shared" si="10"/>
        <v>0</v>
      </c>
      <c r="Q14" s="41"/>
      <c r="R14" s="42"/>
      <c r="S14" s="43"/>
      <c r="T14" s="80">
        <f t="shared" si="7"/>
        <v>0</v>
      </c>
      <c r="U14" s="42"/>
      <c r="V14" s="42"/>
      <c r="W14" s="42"/>
      <c r="X14" s="43"/>
      <c r="Y14" s="167"/>
      <c r="Z14" s="15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si="8"/>
        <v>Terça</v>
      </c>
      <c r="B15" s="34" t="s">
        <v>101</v>
      </c>
      <c r="C15" s="35">
        <f t="shared" si="11"/>
        <v>44209</v>
      </c>
      <c r="D15" s="50">
        <v>0.28472222222222221</v>
      </c>
      <c r="E15" s="52">
        <v>0.5</v>
      </c>
      <c r="F15" s="52">
        <v>0.55208333333333337</v>
      </c>
      <c r="G15" s="51">
        <v>0.69791666666666663</v>
      </c>
      <c r="H15" s="161">
        <f t="shared" si="0"/>
        <v>0.28472222222222221</v>
      </c>
      <c r="I15" s="141">
        <f t="shared" si="1"/>
        <v>0.5</v>
      </c>
      <c r="J15" s="141">
        <f t="shared" si="2"/>
        <v>0.55208333333333337</v>
      </c>
      <c r="K15" s="170">
        <f t="shared" si="3"/>
        <v>0.69791666666666663</v>
      </c>
      <c r="L15" s="163">
        <f t="shared" si="9"/>
        <v>0.36111111111111105</v>
      </c>
      <c r="M15" s="142">
        <f t="shared" si="4"/>
        <v>2.777777777777779E-2</v>
      </c>
      <c r="N15" s="142">
        <f t="shared" si="5"/>
        <v>-1.0416E-2</v>
      </c>
      <c r="O15" s="172">
        <f t="shared" si="6"/>
        <v>1.041666666666663E-2</v>
      </c>
      <c r="P15" s="80">
        <f t="shared" si="10"/>
        <v>1.0416E-2</v>
      </c>
      <c r="Q15" s="41"/>
      <c r="R15" s="42"/>
      <c r="S15" s="43"/>
      <c r="T15" s="80">
        <f t="shared" si="7"/>
        <v>3.8193999999999999E-2</v>
      </c>
      <c r="U15" s="42"/>
      <c r="V15" s="42"/>
      <c r="W15" s="44"/>
      <c r="X15" s="175"/>
      <c r="Y15" s="167"/>
      <c r="Z15" s="158" t="s">
        <v>114</v>
      </c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si="8"/>
        <v>Quarta</v>
      </c>
      <c r="B16" s="34" t="s">
        <v>101</v>
      </c>
      <c r="C16" s="35">
        <f t="shared" si="11"/>
        <v>44210</v>
      </c>
      <c r="D16" s="50">
        <v>0.28472222222222221</v>
      </c>
      <c r="E16" s="52">
        <v>0.5</v>
      </c>
      <c r="F16" s="52">
        <v>0.55208333333333337</v>
      </c>
      <c r="G16" s="51">
        <v>0.69791666666666663</v>
      </c>
      <c r="H16" s="161">
        <f t="shared" si="0"/>
        <v>0.28472222222222221</v>
      </c>
      <c r="I16" s="141">
        <f t="shared" si="1"/>
        <v>0.5</v>
      </c>
      <c r="J16" s="141">
        <f t="shared" si="2"/>
        <v>0.55208333333333337</v>
      </c>
      <c r="K16" s="170">
        <f t="shared" si="3"/>
        <v>0.69791666666666663</v>
      </c>
      <c r="L16" s="163">
        <f t="shared" si="9"/>
        <v>0.36111111111111105</v>
      </c>
      <c r="M16" s="142">
        <f t="shared" si="4"/>
        <v>2.777777777777779E-2</v>
      </c>
      <c r="N16" s="142">
        <f t="shared" si="5"/>
        <v>-1.0416E-2</v>
      </c>
      <c r="O16" s="172">
        <f t="shared" si="6"/>
        <v>1.041666666666663E-2</v>
      </c>
      <c r="P16" s="80">
        <f t="shared" si="10"/>
        <v>0</v>
      </c>
      <c r="Q16" s="41">
        <v>1.0416666666666666E-2</v>
      </c>
      <c r="R16" s="42"/>
      <c r="S16" s="43"/>
      <c r="T16" s="80">
        <f t="shared" si="7"/>
        <v>0</v>
      </c>
      <c r="U16" s="42">
        <v>2.0833333333333332E-2</v>
      </c>
      <c r="V16" s="42">
        <v>6.9444444444444441E-3</v>
      </c>
      <c r="W16" s="44">
        <v>1.0416666666666666E-2</v>
      </c>
      <c r="X16" s="175"/>
      <c r="Y16" s="167"/>
      <c r="Z16" s="158" t="s">
        <v>115</v>
      </c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si="8"/>
        <v>Quinta</v>
      </c>
      <c r="B17" s="34" t="s">
        <v>101</v>
      </c>
      <c r="C17" s="35">
        <f t="shared" si="11"/>
        <v>44211</v>
      </c>
      <c r="D17" s="50">
        <v>0.30208333333333331</v>
      </c>
      <c r="E17" s="52">
        <v>0.5</v>
      </c>
      <c r="F17" s="52">
        <v>0.5625</v>
      </c>
      <c r="G17" s="51">
        <v>0.70486111111111116</v>
      </c>
      <c r="H17" s="161">
        <f t="shared" si="0"/>
        <v>0.3125</v>
      </c>
      <c r="I17" s="141">
        <f t="shared" si="1"/>
        <v>0.5</v>
      </c>
      <c r="J17" s="141">
        <f t="shared" si="2"/>
        <v>0.5625</v>
      </c>
      <c r="K17" s="170">
        <f t="shared" si="3"/>
        <v>0.70833333333333337</v>
      </c>
      <c r="L17" s="163">
        <f t="shared" si="9"/>
        <v>0.33333333333333337</v>
      </c>
      <c r="M17" s="142">
        <f t="shared" si="4"/>
        <v>0</v>
      </c>
      <c r="N17" s="142">
        <f t="shared" si="5"/>
        <v>0</v>
      </c>
      <c r="O17" s="172">
        <f t="shared" si="6"/>
        <v>0</v>
      </c>
      <c r="P17" s="80">
        <f t="shared" si="10"/>
        <v>0</v>
      </c>
      <c r="Q17" s="41"/>
      <c r="R17" s="42"/>
      <c r="S17" s="43"/>
      <c r="T17" s="80">
        <f t="shared" si="7"/>
        <v>0</v>
      </c>
      <c r="U17" s="42"/>
      <c r="V17" s="42"/>
      <c r="W17" s="42"/>
      <c r="X17" s="43"/>
      <c r="Y17" s="167"/>
      <c r="Z17" s="158" t="s">
        <v>118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si="8"/>
        <v>Sexta</v>
      </c>
      <c r="B18" s="34" t="s">
        <v>101</v>
      </c>
      <c r="C18" s="35">
        <f t="shared" si="11"/>
        <v>44212</v>
      </c>
      <c r="D18" s="50"/>
      <c r="E18" s="52"/>
      <c r="F18" s="52"/>
      <c r="G18" s="51"/>
      <c r="H18" s="161">
        <f t="shared" si="0"/>
        <v>0</v>
      </c>
      <c r="I18" s="141">
        <f t="shared" si="1"/>
        <v>0</v>
      </c>
      <c r="J18" s="141">
        <f t="shared" si="2"/>
        <v>0</v>
      </c>
      <c r="K18" s="170">
        <f t="shared" si="3"/>
        <v>0</v>
      </c>
      <c r="L18" s="163">
        <f t="shared" si="9"/>
        <v>0</v>
      </c>
      <c r="M18" s="142">
        <f t="shared" si="4"/>
        <v>0</v>
      </c>
      <c r="N18" s="142">
        <f t="shared" si="5"/>
        <v>0</v>
      </c>
      <c r="O18" s="172">
        <f t="shared" si="6"/>
        <v>0</v>
      </c>
      <c r="P18" s="80">
        <f t="shared" si="10"/>
        <v>0</v>
      </c>
      <c r="Q18" s="41">
        <v>0.33333333333333331</v>
      </c>
      <c r="R18" s="42"/>
      <c r="S18" s="43"/>
      <c r="T18" s="80">
        <f t="shared" si="7"/>
        <v>0</v>
      </c>
      <c r="U18" s="42"/>
      <c r="V18" s="42"/>
      <c r="W18" s="42"/>
      <c r="X18" s="43"/>
      <c r="Y18" s="167"/>
      <c r="Z18" s="158" t="s">
        <v>123</v>
      </c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si="8"/>
        <v>Sábado</v>
      </c>
      <c r="B19" s="34" t="s">
        <v>102</v>
      </c>
      <c r="C19" s="35">
        <f t="shared" si="11"/>
        <v>44213</v>
      </c>
      <c r="D19" s="50"/>
      <c r="E19" s="52"/>
      <c r="F19" s="52"/>
      <c r="G19" s="51"/>
      <c r="H19" s="161">
        <f t="shared" si="0"/>
        <v>0</v>
      </c>
      <c r="I19" s="141">
        <f t="shared" si="1"/>
        <v>0</v>
      </c>
      <c r="J19" s="141">
        <f t="shared" si="2"/>
        <v>0</v>
      </c>
      <c r="K19" s="170">
        <f t="shared" si="3"/>
        <v>0</v>
      </c>
      <c r="L19" s="163">
        <f t="shared" si="9"/>
        <v>0</v>
      </c>
      <c r="M19" s="142">
        <f t="shared" si="4"/>
        <v>0</v>
      </c>
      <c r="N19" s="142">
        <f t="shared" si="5"/>
        <v>0</v>
      </c>
      <c r="O19" s="172">
        <f t="shared" si="6"/>
        <v>0</v>
      </c>
      <c r="P19" s="80">
        <f t="shared" si="10"/>
        <v>0</v>
      </c>
      <c r="Q19" s="41"/>
      <c r="R19" s="42"/>
      <c r="S19" s="43"/>
      <c r="T19" s="80">
        <f t="shared" si="7"/>
        <v>0</v>
      </c>
      <c r="U19" s="42"/>
      <c r="V19" s="42"/>
      <c r="W19" s="42"/>
      <c r="X19" s="43"/>
      <c r="Y19" s="167"/>
      <c r="Z19" s="15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si="8"/>
        <v>Domingo</v>
      </c>
      <c r="B20" s="34" t="s">
        <v>102</v>
      </c>
      <c r="C20" s="35">
        <f t="shared" si="11"/>
        <v>44214</v>
      </c>
      <c r="D20" s="50"/>
      <c r="E20" s="52"/>
      <c r="F20" s="52"/>
      <c r="G20" s="51"/>
      <c r="H20" s="161">
        <f t="shared" si="0"/>
        <v>0</v>
      </c>
      <c r="I20" s="141">
        <f t="shared" si="1"/>
        <v>0</v>
      </c>
      <c r="J20" s="141">
        <f t="shared" si="2"/>
        <v>0</v>
      </c>
      <c r="K20" s="170">
        <f t="shared" si="3"/>
        <v>0</v>
      </c>
      <c r="L20" s="163">
        <f t="shared" si="9"/>
        <v>0</v>
      </c>
      <c r="M20" s="142">
        <f t="shared" si="4"/>
        <v>0</v>
      </c>
      <c r="N20" s="142">
        <f t="shared" si="5"/>
        <v>0</v>
      </c>
      <c r="O20" s="172">
        <f t="shared" si="6"/>
        <v>0</v>
      </c>
      <c r="P20" s="80">
        <f t="shared" si="10"/>
        <v>0</v>
      </c>
      <c r="Q20" s="41"/>
      <c r="R20" s="42"/>
      <c r="S20" s="43"/>
      <c r="T20" s="80">
        <f t="shared" si="7"/>
        <v>0</v>
      </c>
      <c r="U20" s="42"/>
      <c r="V20" s="42"/>
      <c r="W20" s="42"/>
      <c r="X20" s="43"/>
      <c r="Y20" s="167"/>
      <c r="Z20" s="15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si="8"/>
        <v>Segunda</v>
      </c>
      <c r="B21" s="34" t="s">
        <v>101</v>
      </c>
      <c r="C21" s="35">
        <f t="shared" si="11"/>
        <v>44215</v>
      </c>
      <c r="D21" s="50"/>
      <c r="E21" s="52"/>
      <c r="F21" s="52"/>
      <c r="G21" s="51"/>
      <c r="H21" s="161">
        <f t="shared" si="0"/>
        <v>0</v>
      </c>
      <c r="I21" s="141">
        <f t="shared" si="1"/>
        <v>0</v>
      </c>
      <c r="J21" s="141">
        <f t="shared" si="2"/>
        <v>0</v>
      </c>
      <c r="K21" s="170">
        <f t="shared" si="3"/>
        <v>0</v>
      </c>
      <c r="L21" s="163">
        <f t="shared" si="9"/>
        <v>0</v>
      </c>
      <c r="M21" s="142">
        <f t="shared" si="4"/>
        <v>0</v>
      </c>
      <c r="N21" s="142">
        <f t="shared" si="5"/>
        <v>0</v>
      </c>
      <c r="O21" s="172">
        <f t="shared" si="6"/>
        <v>0</v>
      </c>
      <c r="P21" s="80">
        <f t="shared" si="10"/>
        <v>0</v>
      </c>
      <c r="Q21" s="41"/>
      <c r="R21" s="42"/>
      <c r="S21" s="43"/>
      <c r="T21" s="80">
        <f t="shared" si="7"/>
        <v>0</v>
      </c>
      <c r="U21" s="42"/>
      <c r="V21" s="42"/>
      <c r="W21" s="42"/>
      <c r="X21" s="43"/>
      <c r="Y21" s="167"/>
      <c r="Z21" s="15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si="8"/>
        <v>Terça</v>
      </c>
      <c r="B22" s="34" t="s">
        <v>101</v>
      </c>
      <c r="C22" s="35">
        <f t="shared" si="11"/>
        <v>44216</v>
      </c>
      <c r="D22" s="50"/>
      <c r="E22" s="52"/>
      <c r="F22" s="52"/>
      <c r="G22" s="51"/>
      <c r="H22" s="161">
        <f t="shared" si="0"/>
        <v>0</v>
      </c>
      <c r="I22" s="141">
        <f t="shared" si="1"/>
        <v>0</v>
      </c>
      <c r="J22" s="141">
        <f t="shared" si="2"/>
        <v>0</v>
      </c>
      <c r="K22" s="170">
        <f t="shared" si="3"/>
        <v>0</v>
      </c>
      <c r="L22" s="163">
        <f t="shared" si="9"/>
        <v>0</v>
      </c>
      <c r="M22" s="142">
        <f t="shared" si="4"/>
        <v>0</v>
      </c>
      <c r="N22" s="142">
        <f t="shared" si="5"/>
        <v>0</v>
      </c>
      <c r="O22" s="172">
        <f t="shared" si="6"/>
        <v>0</v>
      </c>
      <c r="P22" s="80">
        <f t="shared" si="10"/>
        <v>0</v>
      </c>
      <c r="Q22" s="41"/>
      <c r="R22" s="42"/>
      <c r="S22" s="43"/>
      <c r="T22" s="80">
        <f t="shared" si="7"/>
        <v>0</v>
      </c>
      <c r="U22" s="42"/>
      <c r="V22" s="42"/>
      <c r="W22" s="44"/>
      <c r="X22" s="175"/>
      <c r="Y22" s="167"/>
      <c r="Z22" s="15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si="8"/>
        <v>Quarta</v>
      </c>
      <c r="B23" s="34" t="s">
        <v>135</v>
      </c>
      <c r="C23" s="35">
        <f t="shared" si="11"/>
        <v>44217</v>
      </c>
      <c r="D23" s="50">
        <v>0.3125</v>
      </c>
      <c r="E23" s="52">
        <v>0.5</v>
      </c>
      <c r="F23" s="52">
        <v>0.5625</v>
      </c>
      <c r="G23" s="51">
        <v>0.70833333333333337</v>
      </c>
      <c r="H23" s="161">
        <f t="shared" si="0"/>
        <v>0.3125</v>
      </c>
      <c r="I23" s="141">
        <f t="shared" si="1"/>
        <v>0.5</v>
      </c>
      <c r="J23" s="141">
        <f t="shared" si="2"/>
        <v>0.5625</v>
      </c>
      <c r="K23" s="170">
        <f t="shared" si="3"/>
        <v>0.70833333333333337</v>
      </c>
      <c r="L23" s="163">
        <f t="shared" si="9"/>
        <v>0.33333333333333337</v>
      </c>
      <c r="M23" s="142">
        <f t="shared" si="4"/>
        <v>0</v>
      </c>
      <c r="N23" s="142">
        <f t="shared" si="5"/>
        <v>0</v>
      </c>
      <c r="O23" s="172">
        <f t="shared" si="6"/>
        <v>0</v>
      </c>
      <c r="P23" s="80">
        <f t="shared" si="10"/>
        <v>0</v>
      </c>
      <c r="Q23" s="41"/>
      <c r="R23" s="42"/>
      <c r="S23" s="43"/>
      <c r="T23" s="80">
        <f t="shared" si="7"/>
        <v>0</v>
      </c>
      <c r="U23" s="42"/>
      <c r="V23" s="42"/>
      <c r="W23" s="44"/>
      <c r="X23" s="175"/>
      <c r="Y23" s="167"/>
      <c r="Z23" s="158" t="s">
        <v>155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si="8"/>
        <v>Quinta</v>
      </c>
      <c r="B24" s="34" t="s">
        <v>101</v>
      </c>
      <c r="C24" s="35">
        <f t="shared" si="11"/>
        <v>44218</v>
      </c>
      <c r="D24" s="50">
        <v>0.3125</v>
      </c>
      <c r="E24" s="150"/>
      <c r="F24" s="52"/>
      <c r="G24" s="51">
        <v>0.70833333333333337</v>
      </c>
      <c r="H24" s="161">
        <f t="shared" si="0"/>
        <v>0.3125</v>
      </c>
      <c r="I24" s="141">
        <f t="shared" si="1"/>
        <v>0</v>
      </c>
      <c r="J24" s="141">
        <f t="shared" si="2"/>
        <v>0</v>
      </c>
      <c r="K24" s="170">
        <f t="shared" si="3"/>
        <v>0.70833333333333337</v>
      </c>
      <c r="L24" s="163">
        <f t="shared" si="9"/>
        <v>0.39583333333333337</v>
      </c>
      <c r="M24" s="142">
        <f t="shared" si="4"/>
        <v>0</v>
      </c>
      <c r="N24" s="142">
        <f t="shared" si="5"/>
        <v>0</v>
      </c>
      <c r="O24" s="172">
        <f t="shared" si="6"/>
        <v>6.25E-2</v>
      </c>
      <c r="P24" s="80">
        <f t="shared" si="10"/>
        <v>0</v>
      </c>
      <c r="Q24" s="41"/>
      <c r="R24" s="42"/>
      <c r="S24" s="43"/>
      <c r="T24" s="80">
        <f t="shared" si="7"/>
        <v>6.25E-2</v>
      </c>
      <c r="U24" s="42"/>
      <c r="V24" s="42"/>
      <c r="W24" s="42"/>
      <c r="X24" s="43"/>
      <c r="Y24" s="167"/>
      <c r="Z24" s="158" t="s">
        <v>119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si="8"/>
        <v>Sexta</v>
      </c>
      <c r="B25" s="34" t="s">
        <v>101</v>
      </c>
      <c r="C25" s="35">
        <f t="shared" si="11"/>
        <v>44219</v>
      </c>
      <c r="D25" s="50">
        <v>0.28472222222222221</v>
      </c>
      <c r="E25" s="150">
        <v>0.5</v>
      </c>
      <c r="F25" s="52">
        <v>0.55208333333333337</v>
      </c>
      <c r="G25" s="51">
        <v>0.69791666666666663</v>
      </c>
      <c r="H25" s="161">
        <f t="shared" si="0"/>
        <v>0.28472222222222221</v>
      </c>
      <c r="I25" s="141">
        <f t="shared" si="1"/>
        <v>0.5</v>
      </c>
      <c r="J25" s="141">
        <f t="shared" si="2"/>
        <v>0.55208333333333337</v>
      </c>
      <c r="K25" s="170">
        <f t="shared" si="3"/>
        <v>0.69791666666666663</v>
      </c>
      <c r="L25" s="163">
        <f t="shared" si="9"/>
        <v>0.36111111111111105</v>
      </c>
      <c r="M25" s="142">
        <f t="shared" si="4"/>
        <v>2.777777777777779E-2</v>
      </c>
      <c r="N25" s="142">
        <f t="shared" si="5"/>
        <v>-1.0416E-2</v>
      </c>
      <c r="O25" s="172">
        <f t="shared" si="6"/>
        <v>1.041666666666663E-2</v>
      </c>
      <c r="P25" s="80">
        <f t="shared" si="10"/>
        <v>-6.9449999999999998E-3</v>
      </c>
      <c r="Q25" s="41">
        <v>1.7361111111111112E-2</v>
      </c>
      <c r="R25" s="42"/>
      <c r="S25" s="43"/>
      <c r="T25" s="80">
        <f t="shared" si="7"/>
        <v>-3.4719999999999998E-3</v>
      </c>
      <c r="U25" s="42">
        <v>2.4305555555555556E-2</v>
      </c>
      <c r="V25" s="42">
        <v>6.9444444444444441E-3</v>
      </c>
      <c r="W25" s="42">
        <v>1.0416666666666666E-2</v>
      </c>
      <c r="X25" s="43"/>
      <c r="Y25" s="167"/>
      <c r="Z25" s="158" t="s">
        <v>117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si="8"/>
        <v>Sábado</v>
      </c>
      <c r="B26" s="34" t="s">
        <v>102</v>
      </c>
      <c r="C26" s="35">
        <f t="shared" si="11"/>
        <v>44220</v>
      </c>
      <c r="D26" s="50">
        <v>0.3125</v>
      </c>
      <c r="E26" s="52">
        <v>0.50069444444444444</v>
      </c>
      <c r="F26" s="52">
        <v>0.54166666666666663</v>
      </c>
      <c r="G26" s="51">
        <v>0.70833333333333337</v>
      </c>
      <c r="H26" s="161">
        <f t="shared" si="0"/>
        <v>0.3125</v>
      </c>
      <c r="I26" s="141">
        <f t="shared" si="1"/>
        <v>0.50069444444444444</v>
      </c>
      <c r="J26" s="141">
        <f t="shared" si="2"/>
        <v>0.54166666666666663</v>
      </c>
      <c r="K26" s="170">
        <f t="shared" si="3"/>
        <v>0.70833333333333337</v>
      </c>
      <c r="L26" s="163">
        <f t="shared" si="9"/>
        <v>0.35486111111111118</v>
      </c>
      <c r="M26" s="142">
        <f t="shared" si="4"/>
        <v>0</v>
      </c>
      <c r="N26" s="142">
        <f t="shared" si="5"/>
        <v>0</v>
      </c>
      <c r="O26" s="172">
        <f t="shared" si="6"/>
        <v>0</v>
      </c>
      <c r="P26" s="80">
        <f t="shared" si="10"/>
        <v>0</v>
      </c>
      <c r="Q26" s="41"/>
      <c r="R26" s="42"/>
      <c r="S26" s="43"/>
      <c r="T26" s="80">
        <f t="shared" si="7"/>
        <v>0.35486099999999998</v>
      </c>
      <c r="U26" s="42"/>
      <c r="V26" s="42"/>
      <c r="W26" s="42"/>
      <c r="X26" s="43"/>
      <c r="Y26" s="167"/>
      <c r="Z26" s="158" t="s">
        <v>116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si="8"/>
        <v>Domingo</v>
      </c>
      <c r="B27" s="34" t="s">
        <v>102</v>
      </c>
      <c r="C27" s="35">
        <f t="shared" si="11"/>
        <v>44221</v>
      </c>
      <c r="D27" s="50"/>
      <c r="E27" s="52"/>
      <c r="F27" s="52"/>
      <c r="G27" s="51"/>
      <c r="H27" s="161">
        <f t="shared" si="0"/>
        <v>0</v>
      </c>
      <c r="I27" s="141">
        <f t="shared" si="1"/>
        <v>0</v>
      </c>
      <c r="J27" s="141">
        <f t="shared" si="2"/>
        <v>0</v>
      </c>
      <c r="K27" s="170">
        <f t="shared" si="3"/>
        <v>0</v>
      </c>
      <c r="L27" s="163">
        <f t="shared" si="9"/>
        <v>0</v>
      </c>
      <c r="M27" s="142">
        <f t="shared" si="4"/>
        <v>0</v>
      </c>
      <c r="N27" s="142">
        <f t="shared" si="5"/>
        <v>0</v>
      </c>
      <c r="O27" s="172">
        <f t="shared" si="6"/>
        <v>0</v>
      </c>
      <c r="P27" s="80">
        <f t="shared" si="10"/>
        <v>0</v>
      </c>
      <c r="Q27" s="41"/>
      <c r="R27" s="42"/>
      <c r="S27" s="43"/>
      <c r="T27" s="80">
        <f t="shared" si="7"/>
        <v>0</v>
      </c>
      <c r="U27" s="42"/>
      <c r="V27" s="42"/>
      <c r="W27" s="42"/>
      <c r="X27" s="43"/>
      <c r="Y27" s="167"/>
      <c r="Z27" s="15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si="8"/>
        <v>Segunda</v>
      </c>
      <c r="B28" s="34" t="s">
        <v>101</v>
      </c>
      <c r="C28" s="35">
        <f t="shared" si="11"/>
        <v>44222</v>
      </c>
      <c r="D28" s="50"/>
      <c r="E28" s="52"/>
      <c r="F28" s="52"/>
      <c r="G28" s="51"/>
      <c r="H28" s="161">
        <f t="shared" si="0"/>
        <v>0</v>
      </c>
      <c r="I28" s="141">
        <f t="shared" si="1"/>
        <v>0</v>
      </c>
      <c r="J28" s="141">
        <f t="shared" si="2"/>
        <v>0</v>
      </c>
      <c r="K28" s="170">
        <f t="shared" si="3"/>
        <v>0</v>
      </c>
      <c r="L28" s="163">
        <f t="shared" si="9"/>
        <v>0</v>
      </c>
      <c r="M28" s="142">
        <f t="shared" si="4"/>
        <v>0</v>
      </c>
      <c r="N28" s="142">
        <f t="shared" si="5"/>
        <v>0</v>
      </c>
      <c r="O28" s="172">
        <f t="shared" si="6"/>
        <v>0</v>
      </c>
      <c r="P28" s="80">
        <f t="shared" si="10"/>
        <v>0</v>
      </c>
      <c r="Q28" s="41"/>
      <c r="R28" s="42"/>
      <c r="S28" s="43"/>
      <c r="T28" s="80">
        <f t="shared" si="7"/>
        <v>0</v>
      </c>
      <c r="U28" s="42"/>
      <c r="V28" s="42"/>
      <c r="W28" s="42"/>
      <c r="X28" s="43"/>
      <c r="Y28" s="167"/>
      <c r="Z28" s="15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si="8"/>
        <v>Terça</v>
      </c>
      <c r="B29" s="34" t="s">
        <v>101</v>
      </c>
      <c r="C29" s="35">
        <f t="shared" si="11"/>
        <v>44223</v>
      </c>
      <c r="D29" s="50"/>
      <c r="E29" s="52"/>
      <c r="F29" s="52"/>
      <c r="G29" s="51"/>
      <c r="H29" s="161">
        <f t="shared" si="0"/>
        <v>0</v>
      </c>
      <c r="I29" s="141">
        <f t="shared" si="1"/>
        <v>0</v>
      </c>
      <c r="J29" s="141">
        <f t="shared" si="2"/>
        <v>0</v>
      </c>
      <c r="K29" s="170">
        <f t="shared" si="3"/>
        <v>0</v>
      </c>
      <c r="L29" s="163">
        <f t="shared" si="9"/>
        <v>0</v>
      </c>
      <c r="M29" s="142">
        <f t="shared" si="4"/>
        <v>0</v>
      </c>
      <c r="N29" s="142">
        <f t="shared" si="5"/>
        <v>0</v>
      </c>
      <c r="O29" s="172">
        <f t="shared" si="6"/>
        <v>0</v>
      </c>
      <c r="P29" s="80">
        <f t="shared" si="10"/>
        <v>0</v>
      </c>
      <c r="Q29" s="41"/>
      <c r="R29" s="42"/>
      <c r="S29" s="43"/>
      <c r="T29" s="80">
        <f t="shared" si="7"/>
        <v>0</v>
      </c>
      <c r="U29" s="42"/>
      <c r="V29" s="42"/>
      <c r="W29" s="42"/>
      <c r="X29" s="43"/>
      <c r="Y29" s="167"/>
      <c r="Z29" s="158"/>
    </row>
    <row r="30" spans="1:61" s="28" customFormat="1" ht="15.75" x14ac:dyDescent="0.25">
      <c r="A30" s="33" t="str">
        <f t="shared" si="8"/>
        <v>Quarta</v>
      </c>
      <c r="B30" s="34" t="s">
        <v>101</v>
      </c>
      <c r="C30" s="35">
        <f t="shared" si="11"/>
        <v>44224</v>
      </c>
      <c r="D30" s="50"/>
      <c r="E30" s="52"/>
      <c r="F30" s="52"/>
      <c r="G30" s="51"/>
      <c r="H30" s="161">
        <f t="shared" si="0"/>
        <v>0</v>
      </c>
      <c r="I30" s="141">
        <f t="shared" si="1"/>
        <v>0</v>
      </c>
      <c r="J30" s="141">
        <f t="shared" si="2"/>
        <v>0</v>
      </c>
      <c r="K30" s="170">
        <f t="shared" si="3"/>
        <v>0</v>
      </c>
      <c r="L30" s="163">
        <f>(I30-H30)+(K30-J30)</f>
        <v>0</v>
      </c>
      <c r="M30" s="142">
        <f t="shared" si="4"/>
        <v>0</v>
      </c>
      <c r="N30" s="142">
        <f t="shared" si="5"/>
        <v>0</v>
      </c>
      <c r="O30" s="172">
        <f t="shared" si="6"/>
        <v>0</v>
      </c>
      <c r="P30" s="80">
        <f t="shared" si="10"/>
        <v>0</v>
      </c>
      <c r="Q30" s="41"/>
      <c r="R30" s="42"/>
      <c r="S30" s="43"/>
      <c r="T30" s="80">
        <f t="shared" si="7"/>
        <v>0</v>
      </c>
      <c r="U30" s="42"/>
      <c r="V30" s="42"/>
      <c r="W30" s="44"/>
      <c r="X30" s="175"/>
      <c r="Y30" s="167"/>
      <c r="Z30" s="158"/>
    </row>
    <row r="31" spans="1:61" s="28" customFormat="1" ht="15.75" x14ac:dyDescent="0.25">
      <c r="A31" s="33" t="str">
        <f t="shared" si="8"/>
        <v>Quinta</v>
      </c>
      <c r="B31" s="34" t="s">
        <v>101</v>
      </c>
      <c r="C31" s="35">
        <f t="shared" si="11"/>
        <v>44225</v>
      </c>
      <c r="D31" s="50"/>
      <c r="E31" s="52"/>
      <c r="F31" s="52"/>
      <c r="G31" s="51"/>
      <c r="H31" s="161">
        <f t="shared" si="0"/>
        <v>0</v>
      </c>
      <c r="I31" s="141">
        <f t="shared" si="1"/>
        <v>0</v>
      </c>
      <c r="J31" s="141">
        <f t="shared" si="2"/>
        <v>0</v>
      </c>
      <c r="K31" s="170">
        <f t="shared" si="3"/>
        <v>0</v>
      </c>
      <c r="L31" s="163">
        <f t="shared" si="9"/>
        <v>0</v>
      </c>
      <c r="M31" s="142">
        <f t="shared" si="4"/>
        <v>0</v>
      </c>
      <c r="N31" s="142">
        <f t="shared" si="5"/>
        <v>0</v>
      </c>
      <c r="O31" s="172">
        <f t="shared" si="6"/>
        <v>0</v>
      </c>
      <c r="P31" s="80">
        <f t="shared" si="10"/>
        <v>0</v>
      </c>
      <c r="Q31" s="41"/>
      <c r="R31" s="42"/>
      <c r="S31" s="43"/>
      <c r="T31" s="80">
        <f t="shared" si="7"/>
        <v>0</v>
      </c>
      <c r="U31" s="42"/>
      <c r="V31" s="42"/>
      <c r="W31" s="44"/>
      <c r="X31" s="175"/>
      <c r="Y31" s="167"/>
      <c r="Z31" s="158"/>
    </row>
    <row r="32" spans="1:61" s="28" customFormat="1" ht="16.5" thickBot="1" x14ac:dyDescent="0.3">
      <c r="A32" s="81" t="str">
        <f t="shared" si="8"/>
        <v>Sexta</v>
      </c>
      <c r="B32" s="149" t="s">
        <v>101</v>
      </c>
      <c r="C32" s="35">
        <f t="shared" si="11"/>
        <v>44226</v>
      </c>
      <c r="D32" s="160"/>
      <c r="E32" s="150"/>
      <c r="F32" s="150"/>
      <c r="G32" s="169"/>
      <c r="H32" s="162">
        <f t="shared" si="0"/>
        <v>0</v>
      </c>
      <c r="I32" s="151">
        <f t="shared" si="1"/>
        <v>0</v>
      </c>
      <c r="J32" s="151">
        <f t="shared" si="2"/>
        <v>0</v>
      </c>
      <c r="K32" s="171">
        <f t="shared" si="3"/>
        <v>0</v>
      </c>
      <c r="L32" s="164">
        <f t="shared" si="9"/>
        <v>0</v>
      </c>
      <c r="M32" s="146">
        <f t="shared" si="4"/>
        <v>0</v>
      </c>
      <c r="N32" s="146">
        <f t="shared" si="5"/>
        <v>0</v>
      </c>
      <c r="O32" s="173">
        <f t="shared" si="6"/>
        <v>0</v>
      </c>
      <c r="P32" s="165">
        <f t="shared" si="10"/>
        <v>0</v>
      </c>
      <c r="Q32" s="147"/>
      <c r="R32" s="148"/>
      <c r="S32" s="174"/>
      <c r="T32" s="165">
        <f t="shared" si="7"/>
        <v>0</v>
      </c>
      <c r="U32" s="148"/>
      <c r="V32" s="148"/>
      <c r="W32" s="148"/>
      <c r="X32" s="174"/>
      <c r="Y32" s="168"/>
      <c r="Z32" s="159"/>
    </row>
    <row r="33" spans="1:27" s="14" customFormat="1" ht="24.95" customHeight="1" thickBot="1" x14ac:dyDescent="0.3">
      <c r="A33" s="154"/>
      <c r="B33" s="154"/>
      <c r="C33" s="154"/>
      <c r="D33" s="154"/>
      <c r="E33" s="154"/>
      <c r="F33" s="154"/>
      <c r="G33" s="154"/>
      <c r="H33" s="154"/>
      <c r="I33" s="154"/>
      <c r="J33" s="154"/>
      <c r="K33" s="154"/>
      <c r="L33" s="155"/>
      <c r="M33" s="155"/>
      <c r="N33" s="155"/>
      <c r="O33" s="155"/>
      <c r="P33" s="182">
        <f>SUMIF($P$2:$P$32,"&gt;0:00")</f>
        <v>1.0416E-2</v>
      </c>
      <c r="Q33" s="132">
        <f>SUMIF($Q$2:$Q$32,"&gt;0:00")</f>
        <v>0.3611111111111111</v>
      </c>
      <c r="R33" s="128">
        <f>SUMIF($R$2:$R$32,"&gt;0:00")</f>
        <v>0</v>
      </c>
      <c r="S33" s="188">
        <f>SUMIF($S$2:$S$32,"&gt;0:00")</f>
        <v>0</v>
      </c>
      <c r="T33" s="182">
        <f>SUMIF($T$2:$T$32,"&gt;0:00")</f>
        <v>0.45555499999999999</v>
      </c>
      <c r="U33" s="132">
        <f>SUMIF($U$2:$U$32,"&gt;0:00")</f>
        <v>4.5138888888888888E-2</v>
      </c>
      <c r="V33" s="132">
        <f>SUMIF($V$2:$V$32,"&gt;0:00")</f>
        <v>1.3888888888888888E-2</v>
      </c>
      <c r="W33" s="129">
        <f>SUMIF($W$2:$W$32,"&gt;0:00")</f>
        <v>2.0833333333333332E-2</v>
      </c>
      <c r="X33" s="130">
        <f>SUMIF($X$2:$X$32,"&gt;0:00")</f>
        <v>0</v>
      </c>
      <c r="Y33" s="152"/>
      <c r="Z33" s="153"/>
      <c r="AA33" s="17"/>
    </row>
    <row r="34" spans="1:27" s="14" customFormat="1" ht="15.75" customHeight="1" x14ac:dyDescent="0.25">
      <c r="C34" s="133" t="s">
        <v>1</v>
      </c>
      <c r="D34" s="134" t="s">
        <v>10</v>
      </c>
      <c r="E34" s="290" t="s">
        <v>103</v>
      </c>
      <c r="F34" s="290"/>
      <c r="G34" s="290"/>
      <c r="H34" s="290"/>
      <c r="I34" s="290"/>
      <c r="J34" s="290"/>
      <c r="K34" s="290"/>
      <c r="L34" s="290"/>
      <c r="M34" s="290"/>
      <c r="N34" s="291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</row>
    <row r="35" spans="1:27" s="14" customFormat="1" ht="15" customHeight="1" x14ac:dyDescent="0.25">
      <c r="C35" s="135">
        <v>44201</v>
      </c>
      <c r="D35" s="136">
        <v>0.5</v>
      </c>
      <c r="E35" s="292" t="s">
        <v>120</v>
      </c>
      <c r="F35" s="292"/>
      <c r="G35" s="292"/>
      <c r="H35" s="292"/>
      <c r="I35" s="292"/>
      <c r="J35" s="292"/>
      <c r="K35" s="292"/>
      <c r="L35" s="292"/>
      <c r="M35" s="292"/>
      <c r="N35" s="293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</row>
    <row r="36" spans="1:27" s="14" customFormat="1" ht="15" customHeight="1" x14ac:dyDescent="0.25">
      <c r="C36" s="135"/>
      <c r="D36" s="136"/>
      <c r="E36" s="292"/>
      <c r="F36" s="292"/>
      <c r="G36" s="292"/>
      <c r="H36" s="292"/>
      <c r="I36" s="292"/>
      <c r="J36" s="292"/>
      <c r="K36" s="292"/>
      <c r="L36" s="292"/>
      <c r="M36" s="292"/>
      <c r="N36" s="293"/>
      <c r="P36" s="303"/>
      <c r="Q36" s="294">
        <f>TRUNC($U$33-$Q$33,6)</f>
        <v>-0.31597199999999998</v>
      </c>
      <c r="R36" s="295"/>
      <c r="S36" s="296"/>
      <c r="T36" s="176"/>
      <c r="U36" s="144" t="s">
        <v>40</v>
      </c>
      <c r="V36" s="143"/>
      <c r="W36" s="144" t="s">
        <v>40</v>
      </c>
      <c r="X36" s="184"/>
    </row>
    <row r="37" spans="1:27" s="14" customFormat="1" ht="15" customHeight="1" x14ac:dyDescent="0.25">
      <c r="C37" s="135"/>
      <c r="D37" s="136"/>
      <c r="E37" s="292"/>
      <c r="F37" s="292"/>
      <c r="G37" s="292"/>
      <c r="H37" s="292"/>
      <c r="I37" s="292"/>
      <c r="J37" s="292"/>
      <c r="K37" s="292"/>
      <c r="L37" s="292"/>
      <c r="M37" s="292"/>
      <c r="N37" s="293"/>
      <c r="P37" s="303"/>
      <c r="Q37" s="297"/>
      <c r="R37" s="298"/>
      <c r="S37" s="299"/>
      <c r="T37" s="180"/>
      <c r="U37" s="186">
        <f>(-1)*CRE_2</f>
        <v>-2.1041666666666665</v>
      </c>
      <c r="V37" s="185"/>
      <c r="W37" s="187">
        <f>$U$37+$V$33</f>
        <v>-2.0902777777777777</v>
      </c>
      <c r="X37" s="184"/>
    </row>
    <row r="38" spans="1:27" s="14" customFormat="1" ht="15" customHeight="1" x14ac:dyDescent="0.25">
      <c r="C38" s="135"/>
      <c r="D38" s="136"/>
      <c r="E38" s="292"/>
      <c r="F38" s="292"/>
      <c r="G38" s="292"/>
      <c r="H38" s="292"/>
      <c r="I38" s="292"/>
      <c r="J38" s="292"/>
      <c r="K38" s="292"/>
      <c r="L38" s="292"/>
      <c r="M38" s="292"/>
      <c r="N38" s="293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</row>
    <row r="39" spans="1:27" s="14" customFormat="1" ht="15" customHeight="1" x14ac:dyDescent="0.25">
      <c r="C39" s="137"/>
      <c r="D39" s="138"/>
      <c r="E39" s="301"/>
      <c r="F39" s="301"/>
      <c r="G39" s="301"/>
      <c r="H39" s="301"/>
      <c r="I39" s="301"/>
      <c r="J39" s="301"/>
      <c r="K39" s="301"/>
      <c r="L39" s="301"/>
      <c r="M39" s="301"/>
      <c r="N39" s="302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AA39" s="17"/>
    </row>
    <row r="40" spans="1:27" s="14" customFormat="1" ht="15" customHeight="1" x14ac:dyDescent="0.25">
      <c r="C40" s="137"/>
      <c r="D40" s="138"/>
      <c r="E40" s="301"/>
      <c r="F40" s="301"/>
      <c r="G40" s="301"/>
      <c r="H40" s="301"/>
      <c r="I40" s="301"/>
      <c r="J40" s="301"/>
      <c r="K40" s="301"/>
      <c r="L40" s="301"/>
      <c r="M40" s="301"/>
      <c r="N40" s="302"/>
      <c r="P40" s="303"/>
      <c r="Q40" s="145"/>
      <c r="R40" s="145"/>
      <c r="S40" s="294">
        <f>TRUNC(SUM($T$33:$X$33)-SUM($P$33:$S$33),6)</f>
        <v>0.16388900000000001</v>
      </c>
      <c r="T40" s="295"/>
      <c r="U40" s="296"/>
      <c r="V40" s="185"/>
      <c r="W40" s="145"/>
      <c r="X40" s="177"/>
      <c r="AA40" s="18"/>
    </row>
    <row r="41" spans="1:27" s="14" customFormat="1" ht="15" customHeight="1" x14ac:dyDescent="0.25">
      <c r="C41" s="137"/>
      <c r="D41" s="138"/>
      <c r="E41" s="301"/>
      <c r="F41" s="301"/>
      <c r="G41" s="301"/>
      <c r="H41" s="301"/>
      <c r="I41" s="301"/>
      <c r="J41" s="301"/>
      <c r="K41" s="301"/>
      <c r="L41" s="301"/>
      <c r="M41" s="301"/>
      <c r="N41" s="302"/>
      <c r="O41" s="2"/>
      <c r="P41" s="303"/>
      <c r="Q41" s="145"/>
      <c r="R41" s="145"/>
      <c r="S41" s="297"/>
      <c r="T41" s="298"/>
      <c r="U41" s="299"/>
      <c r="V41" s="185"/>
      <c r="W41" s="145"/>
      <c r="X41" s="177"/>
      <c r="AA41" s="17"/>
    </row>
    <row r="42" spans="1:27" s="14" customFormat="1" ht="15" customHeight="1" x14ac:dyDescent="0.25">
      <c r="C42" s="137"/>
      <c r="D42" s="138"/>
      <c r="E42" s="301"/>
      <c r="F42" s="301"/>
      <c r="G42" s="301"/>
      <c r="H42" s="301"/>
      <c r="I42" s="301"/>
      <c r="J42" s="301"/>
      <c r="K42" s="301"/>
      <c r="L42" s="301"/>
      <c r="M42" s="301"/>
      <c r="N42" s="302"/>
      <c r="O42" s="1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AA42" s="17"/>
    </row>
    <row r="43" spans="1:27" s="14" customFormat="1" ht="15" customHeight="1" thickBot="1" x14ac:dyDescent="0.3">
      <c r="C43" s="139"/>
      <c r="D43" s="140"/>
      <c r="E43" s="305"/>
      <c r="F43" s="305"/>
      <c r="G43" s="305"/>
      <c r="H43" s="305"/>
      <c r="I43" s="305"/>
      <c r="J43" s="305"/>
      <c r="K43" s="305"/>
      <c r="L43" s="305"/>
      <c r="M43" s="305"/>
      <c r="N43" s="306"/>
      <c r="P43" s="304"/>
      <c r="Q43" s="178"/>
      <c r="R43" s="178"/>
      <c r="S43" s="178"/>
      <c r="T43" s="178"/>
      <c r="U43" s="178"/>
      <c r="V43" s="178"/>
      <c r="W43" s="178"/>
      <c r="X43" s="179"/>
      <c r="AA43" s="21"/>
    </row>
    <row r="44" spans="1:27" s="14" customFormat="1" ht="14.25" customHeight="1" x14ac:dyDescent="0.25">
      <c r="A44" s="23"/>
      <c r="B44" s="23"/>
      <c r="C44" s="32"/>
      <c r="D44" s="2"/>
      <c r="E44" s="2"/>
      <c r="F44" s="2"/>
      <c r="G44" s="2"/>
      <c r="H44" s="2"/>
      <c r="I44" s="2"/>
      <c r="J44" s="2"/>
      <c r="K44" s="2"/>
      <c r="T44" s="13"/>
      <c r="X44" s="1"/>
      <c r="Y44" s="36"/>
      <c r="Z44" s="1"/>
      <c r="AA44" s="22"/>
    </row>
    <row r="45" spans="1:27" s="3" customFormat="1" ht="15" x14ac:dyDescent="0.25">
      <c r="V45" s="7"/>
      <c r="W45" s="13"/>
      <c r="X45" s="13"/>
      <c r="Y45" s="39"/>
      <c r="Z45" s="20"/>
      <c r="AA45" s="9"/>
    </row>
    <row r="46" spans="1:27" s="3" customFormat="1" ht="15" x14ac:dyDescent="0.25">
      <c r="A46" s="6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14"/>
      <c r="N46" s="14"/>
      <c r="O46" s="14"/>
      <c r="P46" s="7"/>
      <c r="Q46" s="7"/>
      <c r="R46" s="7"/>
      <c r="S46" s="7"/>
      <c r="T46" s="7"/>
      <c r="U46" s="7"/>
      <c r="V46" s="7"/>
      <c r="W46" s="13"/>
      <c r="X46" s="15"/>
      <c r="Y46" s="21"/>
      <c r="Z46" s="19"/>
      <c r="AA46" s="9"/>
    </row>
    <row r="47" spans="1:27" s="3" customFormat="1" ht="15" x14ac:dyDescent="0.25">
      <c r="A47" s="6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14"/>
      <c r="N47" s="14"/>
      <c r="O47" s="14"/>
      <c r="P47" s="7"/>
      <c r="Q47" s="7"/>
      <c r="R47" s="7"/>
      <c r="S47" s="7"/>
      <c r="T47" s="7"/>
      <c r="U47" s="7"/>
      <c r="V47" s="7"/>
      <c r="W47" s="13"/>
      <c r="X47" s="16"/>
      <c r="Y47" s="22"/>
      <c r="Z47" s="13"/>
      <c r="AA47" s="9"/>
    </row>
    <row r="48" spans="1:27" s="3" customFormat="1" ht="15" x14ac:dyDescent="0.25">
      <c r="A48" s="6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14"/>
      <c r="N48" s="14"/>
      <c r="O48" s="14"/>
      <c r="P48" s="7"/>
      <c r="Q48" s="7"/>
      <c r="R48" s="7"/>
      <c r="S48" s="7"/>
      <c r="T48" s="7"/>
      <c r="U48" s="7"/>
      <c r="V48" s="7"/>
      <c r="W48" s="7"/>
      <c r="X48" s="8"/>
      <c r="Y48" s="37"/>
      <c r="Z48" s="8"/>
      <c r="AA48" s="9"/>
    </row>
    <row r="49" spans="1:27" s="3" customFormat="1" ht="15" x14ac:dyDescent="0.25">
      <c r="A49" s="6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14"/>
      <c r="N49" s="14"/>
      <c r="O49" s="14"/>
      <c r="P49" s="7"/>
      <c r="Q49" s="7"/>
      <c r="R49" s="7"/>
      <c r="S49" s="7"/>
      <c r="T49" s="7"/>
      <c r="U49" s="7"/>
      <c r="V49" s="7"/>
      <c r="W49" s="7"/>
      <c r="X49" s="8"/>
      <c r="Y49" s="37"/>
      <c r="Z49" s="8"/>
      <c r="AA49" s="9"/>
    </row>
    <row r="50" spans="1:27" s="3" customFormat="1" x14ac:dyDescent="0.2">
      <c r="A50" s="6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8"/>
      <c r="Y50" s="37"/>
      <c r="Z50" s="8"/>
      <c r="AA50" s="9"/>
    </row>
    <row r="51" spans="1:27" s="3" customFormat="1" x14ac:dyDescent="0.2">
      <c r="A51" s="6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8"/>
      <c r="Y51" s="37"/>
      <c r="Z51" s="8"/>
      <c r="AA51" s="9"/>
    </row>
    <row r="52" spans="1:27" s="3" customFormat="1" x14ac:dyDescent="0.2">
      <c r="A52" s="6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8"/>
      <c r="Y52" s="37"/>
      <c r="Z52" s="8"/>
      <c r="AA52" s="9"/>
    </row>
    <row r="53" spans="1:27" s="3" customFormat="1" x14ac:dyDescent="0.2">
      <c r="A53" s="6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8"/>
      <c r="Y53" s="37"/>
      <c r="Z53" s="8"/>
      <c r="AA53" s="9"/>
    </row>
    <row r="54" spans="1:27" s="3" customFormat="1" x14ac:dyDescent="0.2">
      <c r="A54" s="6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8"/>
      <c r="Y54" s="37"/>
      <c r="Z54" s="8"/>
      <c r="AA54" s="9"/>
    </row>
    <row r="55" spans="1:27" s="3" customFormat="1" x14ac:dyDescent="0.2">
      <c r="A55" s="6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8"/>
      <c r="Y55" s="37"/>
      <c r="Z55" s="8"/>
      <c r="AA55" s="9"/>
    </row>
    <row r="56" spans="1:27" s="3" customFormat="1" x14ac:dyDescent="0.2">
      <c r="A56" s="6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8"/>
      <c r="Y56" s="37"/>
      <c r="Z56" s="8"/>
      <c r="AA56" s="9"/>
    </row>
    <row r="57" spans="1:27" s="3" customFormat="1" x14ac:dyDescent="0.2">
      <c r="A57" s="6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8"/>
      <c r="Y57" s="37"/>
      <c r="Z57" s="8"/>
      <c r="AA57" s="9"/>
    </row>
    <row r="58" spans="1:27" s="3" customFormat="1" x14ac:dyDescent="0.2">
      <c r="A58" s="6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8"/>
      <c r="Y58" s="37"/>
      <c r="Z58" s="8"/>
      <c r="AA58" s="9"/>
    </row>
    <row r="59" spans="1:27" s="3" customFormat="1" x14ac:dyDescent="0.2">
      <c r="A59" s="6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8"/>
      <c r="Y59" s="37"/>
      <c r="Z59" s="8"/>
      <c r="AA59" s="9"/>
    </row>
    <row r="60" spans="1:27" s="3" customFormat="1" x14ac:dyDescent="0.2">
      <c r="A60" s="6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8"/>
      <c r="Y60" s="37"/>
      <c r="Z60" s="8"/>
      <c r="AA60" s="9"/>
    </row>
    <row r="61" spans="1:27" s="3" customFormat="1" x14ac:dyDescent="0.2">
      <c r="A61" s="6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8"/>
      <c r="Y61" s="37"/>
      <c r="Z61" s="8"/>
      <c r="AA61" s="9"/>
    </row>
    <row r="62" spans="1:27" s="3" customFormat="1" x14ac:dyDescent="0.2">
      <c r="A62" s="6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8"/>
      <c r="Y62" s="37"/>
      <c r="Z62" s="8"/>
      <c r="AA62" s="9"/>
    </row>
    <row r="63" spans="1:27" s="3" customFormat="1" x14ac:dyDescent="0.2">
      <c r="A63" s="6"/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8"/>
      <c r="Y63" s="37"/>
      <c r="Z63" s="8"/>
      <c r="AA63" s="9"/>
    </row>
    <row r="64" spans="1:27" s="3" customFormat="1" x14ac:dyDescent="0.2">
      <c r="A64" s="6"/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8"/>
      <c r="Y64" s="37"/>
      <c r="Z64" s="8"/>
      <c r="AA64" s="9"/>
    </row>
    <row r="65" spans="1:27" s="3" customFormat="1" x14ac:dyDescent="0.2">
      <c r="A65" s="6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8"/>
      <c r="Y65" s="37"/>
      <c r="Z65" s="8"/>
      <c r="AA65" s="9"/>
    </row>
    <row r="66" spans="1:27" s="3" customFormat="1" x14ac:dyDescent="0.2">
      <c r="A66" s="6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8"/>
      <c r="Y66" s="37"/>
      <c r="Z66" s="8"/>
      <c r="AA66" s="9"/>
    </row>
    <row r="67" spans="1:27" s="3" customFormat="1" x14ac:dyDescent="0.2">
      <c r="A67" s="6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8"/>
      <c r="Y67" s="37"/>
      <c r="Z67" s="8"/>
      <c r="AA67" s="9"/>
    </row>
    <row r="68" spans="1:27" s="3" customFormat="1" x14ac:dyDescent="0.2">
      <c r="A68" s="6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8"/>
      <c r="Y68" s="37"/>
      <c r="Z68" s="8"/>
      <c r="AA68" s="9"/>
    </row>
    <row r="69" spans="1:27" s="3" customFormat="1" x14ac:dyDescent="0.2">
      <c r="A69" s="6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8"/>
      <c r="Y69" s="37"/>
      <c r="Z69" s="8"/>
      <c r="AA69" s="9"/>
    </row>
    <row r="70" spans="1:27" s="3" customFormat="1" x14ac:dyDescent="0.2">
      <c r="A70" s="6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8"/>
      <c r="Y70" s="37"/>
      <c r="Z70" s="8"/>
      <c r="AA70" s="9"/>
    </row>
    <row r="71" spans="1:27" s="3" customFormat="1" x14ac:dyDescent="0.2">
      <c r="A71" s="6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8"/>
      <c r="Y71" s="37"/>
      <c r="Z71" s="8"/>
      <c r="AA71" s="9"/>
    </row>
    <row r="72" spans="1:27" s="3" customFormat="1" x14ac:dyDescent="0.2">
      <c r="A72" s="6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8"/>
      <c r="Y72" s="37"/>
      <c r="Z72" s="8"/>
      <c r="AA72" s="9"/>
    </row>
    <row r="73" spans="1:27" s="3" customFormat="1" x14ac:dyDescent="0.2">
      <c r="A73" s="6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8"/>
      <c r="Y73" s="37"/>
      <c r="Z73" s="8"/>
      <c r="AA73" s="9"/>
    </row>
    <row r="74" spans="1:27" s="3" customFormat="1" x14ac:dyDescent="0.2">
      <c r="A74" s="6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8"/>
      <c r="Y74" s="37"/>
      <c r="Z74" s="8"/>
      <c r="AA74" s="9"/>
    </row>
    <row r="75" spans="1:27" s="3" customFormat="1" x14ac:dyDescent="0.2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8"/>
      <c r="Y75" s="37"/>
      <c r="Z75" s="8"/>
      <c r="AA75" s="9"/>
    </row>
    <row r="76" spans="1:27" s="3" customFormat="1" x14ac:dyDescent="0.2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8"/>
      <c r="Y76" s="37"/>
      <c r="Z76" s="8"/>
      <c r="AA76" s="9"/>
    </row>
    <row r="77" spans="1:27" s="3" customFormat="1" x14ac:dyDescent="0.2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8"/>
      <c r="Y77" s="37"/>
      <c r="Z77" s="8"/>
      <c r="AA77" s="9"/>
    </row>
    <row r="78" spans="1:27" s="3" customFormat="1" x14ac:dyDescent="0.2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8"/>
      <c r="Y78" s="37"/>
      <c r="Z78" s="8"/>
      <c r="AA78" s="9"/>
    </row>
    <row r="79" spans="1:27" s="3" customFormat="1" x14ac:dyDescent="0.2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8"/>
      <c r="Y79" s="37"/>
      <c r="Z79" s="8"/>
      <c r="AA79" s="9"/>
    </row>
    <row r="80" spans="1:27" s="3" customFormat="1" x14ac:dyDescent="0.2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8"/>
      <c r="Y80" s="37"/>
      <c r="Z80" s="8"/>
      <c r="AA80" s="9"/>
    </row>
    <row r="81" spans="1:27" s="3" customFormat="1" x14ac:dyDescent="0.2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8"/>
      <c r="Y81" s="37"/>
      <c r="Z81" s="8"/>
      <c r="AA81" s="9"/>
    </row>
    <row r="82" spans="1:27" s="3" customFormat="1" x14ac:dyDescent="0.2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8"/>
      <c r="Y82" s="37"/>
      <c r="Z82" s="8"/>
      <c r="AA82" s="9"/>
    </row>
    <row r="83" spans="1:27" s="3" customFormat="1" x14ac:dyDescent="0.2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8"/>
      <c r="Y83" s="37"/>
      <c r="Z83" s="8"/>
      <c r="AA83" s="9"/>
    </row>
    <row r="84" spans="1:27" s="3" customFormat="1" x14ac:dyDescent="0.2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8"/>
      <c r="Y84" s="37"/>
      <c r="Z84" s="8"/>
      <c r="AA84" s="9"/>
    </row>
    <row r="85" spans="1:27" s="3" customFormat="1" x14ac:dyDescent="0.2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8"/>
      <c r="Y85" s="37"/>
      <c r="Z85" s="8"/>
      <c r="AA85" s="9"/>
    </row>
    <row r="86" spans="1:27" s="3" customFormat="1" x14ac:dyDescent="0.2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8"/>
      <c r="Y86" s="37"/>
      <c r="Z86" s="8"/>
      <c r="AA86" s="9"/>
    </row>
    <row r="87" spans="1:27" s="3" customFormat="1" x14ac:dyDescent="0.2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8"/>
      <c r="Y87" s="37"/>
      <c r="Z87" s="8"/>
      <c r="AA87" s="9"/>
    </row>
    <row r="88" spans="1:27" s="3" customFormat="1" x14ac:dyDescent="0.2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8"/>
      <c r="Y88" s="37"/>
      <c r="Z88" s="8"/>
      <c r="AA88" s="9"/>
    </row>
    <row r="89" spans="1:27" s="3" customFormat="1" x14ac:dyDescent="0.2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8"/>
      <c r="Y89" s="37"/>
      <c r="Z89" s="8"/>
      <c r="AA89" s="9"/>
    </row>
    <row r="90" spans="1:27" s="3" customFormat="1" x14ac:dyDescent="0.2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8"/>
      <c r="Y90" s="37"/>
      <c r="Z90" s="8"/>
      <c r="AA90" s="9"/>
    </row>
    <row r="91" spans="1:27" s="3" customFormat="1" x14ac:dyDescent="0.2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8"/>
      <c r="Y91" s="37"/>
      <c r="Z91" s="8"/>
      <c r="AA91" s="9"/>
    </row>
    <row r="92" spans="1:27" s="3" customFormat="1" x14ac:dyDescent="0.2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8"/>
      <c r="Y92" s="37"/>
      <c r="Z92" s="8"/>
      <c r="AA92" s="9"/>
    </row>
    <row r="93" spans="1:27" s="3" customFormat="1" x14ac:dyDescent="0.2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8"/>
      <c r="Y93" s="37"/>
      <c r="Z93" s="8"/>
      <c r="AA93" s="9"/>
    </row>
    <row r="94" spans="1:27" s="3" customFormat="1" x14ac:dyDescent="0.2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8"/>
      <c r="Y94" s="37"/>
      <c r="Z94" s="8"/>
      <c r="AA94" s="9"/>
    </row>
    <row r="95" spans="1:27" s="3" customFormat="1" x14ac:dyDescent="0.2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8"/>
      <c r="Y95" s="37"/>
      <c r="Z95" s="8"/>
      <c r="AA95" s="9"/>
    </row>
    <row r="96" spans="1:27" s="3" customFormat="1" x14ac:dyDescent="0.2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8"/>
      <c r="Y96" s="37"/>
      <c r="Z96" s="8"/>
      <c r="AA96" s="9"/>
    </row>
    <row r="97" spans="1:27" s="3" customFormat="1" x14ac:dyDescent="0.2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8"/>
      <c r="Y97" s="37"/>
      <c r="Z97" s="8"/>
      <c r="AA97" s="9"/>
    </row>
    <row r="98" spans="1:27" s="3" customFormat="1" x14ac:dyDescent="0.2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8"/>
      <c r="Y98" s="37"/>
      <c r="Z98" s="8"/>
      <c r="AA98" s="9"/>
    </row>
    <row r="99" spans="1:27" s="3" customFormat="1" x14ac:dyDescent="0.2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8"/>
      <c r="Y99" s="37"/>
      <c r="Z99" s="8"/>
      <c r="AA99" s="9"/>
    </row>
    <row r="100" spans="1:27" s="3" customFormat="1" x14ac:dyDescent="0.2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8"/>
      <c r="Y100" s="37"/>
      <c r="Z100" s="8"/>
      <c r="AA100" s="9"/>
    </row>
    <row r="101" spans="1:27" s="3" customFormat="1" x14ac:dyDescent="0.2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8"/>
      <c r="Y101" s="37"/>
      <c r="Z101" s="8"/>
      <c r="AA101" s="9"/>
    </row>
    <row r="102" spans="1:27" s="3" customFormat="1" x14ac:dyDescent="0.2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8"/>
      <c r="Y102" s="37"/>
      <c r="Z102" s="8"/>
      <c r="AA102" s="9"/>
    </row>
    <row r="103" spans="1:27" s="3" customFormat="1" x14ac:dyDescent="0.2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8"/>
      <c r="Y103" s="37"/>
      <c r="Z103" s="8"/>
      <c r="AA103" s="9"/>
    </row>
    <row r="104" spans="1:27" s="3" customFormat="1" x14ac:dyDescent="0.2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8"/>
      <c r="Y104" s="37"/>
      <c r="Z104" s="8"/>
      <c r="AA104" s="9"/>
    </row>
    <row r="105" spans="1:27" s="3" customFormat="1" x14ac:dyDescent="0.2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8"/>
      <c r="Y105" s="37"/>
      <c r="Z105" s="8"/>
      <c r="AA105" s="9"/>
    </row>
    <row r="106" spans="1:27" s="3" customFormat="1" x14ac:dyDescent="0.2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8"/>
      <c r="Y106" s="37"/>
      <c r="Z106" s="8"/>
      <c r="AA106" s="9"/>
    </row>
    <row r="107" spans="1:27" s="3" customFormat="1" x14ac:dyDescent="0.2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8"/>
      <c r="Y107" s="37"/>
      <c r="Z107" s="8"/>
      <c r="AA107" s="9"/>
    </row>
    <row r="108" spans="1:27" s="3" customFormat="1" x14ac:dyDescent="0.2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8"/>
      <c r="Y108" s="37"/>
      <c r="Z108" s="8"/>
      <c r="AA108" s="9"/>
    </row>
    <row r="109" spans="1:27" s="3" customFormat="1" x14ac:dyDescent="0.2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8"/>
      <c r="Y109" s="37"/>
      <c r="Z109" s="8"/>
      <c r="AA109" s="9"/>
    </row>
    <row r="110" spans="1:27" s="3" customFormat="1" x14ac:dyDescent="0.2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8"/>
      <c r="Y110" s="37"/>
      <c r="Z110" s="8"/>
      <c r="AA110" s="9"/>
    </row>
    <row r="111" spans="1:27" s="3" customFormat="1" x14ac:dyDescent="0.2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8"/>
      <c r="Y111" s="37"/>
      <c r="Z111" s="8"/>
      <c r="AA111" s="9"/>
    </row>
    <row r="112" spans="1:27" s="3" customFormat="1" x14ac:dyDescent="0.2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8"/>
      <c r="Y112" s="37"/>
      <c r="Z112" s="8"/>
      <c r="AA112" s="9"/>
    </row>
    <row r="113" spans="1:27" s="3" customFormat="1" x14ac:dyDescent="0.2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8"/>
      <c r="Y113" s="37"/>
      <c r="Z113" s="8"/>
      <c r="AA113" s="9"/>
    </row>
    <row r="114" spans="1:27" s="3" customFormat="1" x14ac:dyDescent="0.2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8"/>
      <c r="Y114" s="37"/>
      <c r="Z114" s="8"/>
      <c r="AA114" s="9"/>
    </row>
    <row r="115" spans="1:27" s="3" customFormat="1" x14ac:dyDescent="0.2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8"/>
      <c r="Y115" s="37"/>
      <c r="Z115" s="8"/>
      <c r="AA115" s="9"/>
    </row>
    <row r="116" spans="1:27" s="3" customFormat="1" x14ac:dyDescent="0.2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8"/>
      <c r="Y116" s="37"/>
      <c r="Z116" s="8"/>
      <c r="AA116" s="9"/>
    </row>
    <row r="117" spans="1:27" s="3" customFormat="1" x14ac:dyDescent="0.2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8"/>
      <c r="Y117" s="37"/>
      <c r="Z117" s="8"/>
      <c r="AA117" s="9"/>
    </row>
    <row r="118" spans="1:27" s="3" customFormat="1" x14ac:dyDescent="0.2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8"/>
      <c r="Y118" s="37"/>
      <c r="Z118" s="8"/>
      <c r="AA118" s="9"/>
    </row>
    <row r="119" spans="1:27" s="3" customFormat="1" x14ac:dyDescent="0.2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8"/>
      <c r="Y119" s="37"/>
      <c r="Z119" s="8"/>
      <c r="AA119" s="9"/>
    </row>
    <row r="120" spans="1:27" s="3" customFormat="1" x14ac:dyDescent="0.2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8"/>
      <c r="Y120" s="37"/>
      <c r="Z120" s="8"/>
      <c r="AA120" s="9"/>
    </row>
    <row r="121" spans="1:27" s="3" customFormat="1" x14ac:dyDescent="0.2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8"/>
      <c r="Y121" s="37"/>
      <c r="Z121" s="8"/>
      <c r="AA121" s="9"/>
    </row>
    <row r="122" spans="1:27" s="3" customFormat="1" x14ac:dyDescent="0.2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8"/>
      <c r="Y122" s="37"/>
      <c r="Z122" s="8"/>
      <c r="AA122" s="9"/>
    </row>
    <row r="123" spans="1:27" s="3" customFormat="1" x14ac:dyDescent="0.2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8"/>
      <c r="Y123" s="37"/>
      <c r="Z123" s="8"/>
      <c r="AA123" s="9"/>
    </row>
    <row r="124" spans="1:27" s="3" customFormat="1" x14ac:dyDescent="0.2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8"/>
      <c r="Y124" s="37"/>
      <c r="Z124" s="8"/>
      <c r="AA124" s="9"/>
    </row>
    <row r="125" spans="1:27" s="3" customFormat="1" x14ac:dyDescent="0.2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8"/>
      <c r="Y125" s="37"/>
      <c r="Z125" s="8"/>
      <c r="AA125" s="9"/>
    </row>
    <row r="126" spans="1:27" s="3" customFormat="1" x14ac:dyDescent="0.2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8"/>
      <c r="Y126" s="37"/>
      <c r="Z126" s="8"/>
      <c r="AA126" s="9"/>
    </row>
    <row r="127" spans="1:27" s="3" customFormat="1" x14ac:dyDescent="0.2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8"/>
      <c r="Y127" s="37"/>
      <c r="Z127" s="8"/>
      <c r="AA127" s="9"/>
    </row>
    <row r="128" spans="1:27" s="3" customFormat="1" x14ac:dyDescent="0.2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8"/>
      <c r="Y128" s="37"/>
      <c r="Z128" s="8"/>
      <c r="AA128" s="9"/>
    </row>
    <row r="129" spans="1:27" s="3" customFormat="1" x14ac:dyDescent="0.2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8"/>
      <c r="Y129" s="37"/>
      <c r="Z129" s="8"/>
      <c r="AA129" s="9"/>
    </row>
    <row r="130" spans="1:27" s="3" customFormat="1" x14ac:dyDescent="0.2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8"/>
      <c r="Y130" s="37"/>
      <c r="Z130" s="8"/>
      <c r="AA130" s="9"/>
    </row>
    <row r="131" spans="1:27" s="3" customFormat="1" x14ac:dyDescent="0.2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8"/>
      <c r="Y131" s="37"/>
      <c r="Z131" s="8"/>
      <c r="AA131" s="9"/>
    </row>
    <row r="132" spans="1:27" s="3" customFormat="1" x14ac:dyDescent="0.2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8"/>
      <c r="Y132" s="37"/>
      <c r="Z132" s="8"/>
      <c r="AA132" s="9"/>
    </row>
    <row r="133" spans="1:27" s="3" customFormat="1" x14ac:dyDescent="0.2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8"/>
      <c r="Y133" s="37"/>
      <c r="Z133" s="8"/>
      <c r="AA133" s="9"/>
    </row>
    <row r="134" spans="1:27" s="3" customFormat="1" x14ac:dyDescent="0.2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8"/>
      <c r="Y134" s="37"/>
      <c r="Z134" s="8"/>
      <c r="AA134" s="9"/>
    </row>
    <row r="135" spans="1:27" s="3" customFormat="1" x14ac:dyDescent="0.2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8"/>
      <c r="Y135" s="37"/>
      <c r="Z135" s="8"/>
      <c r="AA135" s="9"/>
    </row>
    <row r="136" spans="1:27" s="3" customFormat="1" x14ac:dyDescent="0.2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8"/>
      <c r="Y136" s="37"/>
      <c r="Z136" s="8"/>
      <c r="AA136" s="9"/>
    </row>
    <row r="137" spans="1:27" s="3" customFormat="1" x14ac:dyDescent="0.2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8"/>
      <c r="Y137" s="37"/>
      <c r="Z137" s="8"/>
      <c r="AA137" s="9"/>
    </row>
    <row r="138" spans="1:27" s="3" customFormat="1" x14ac:dyDescent="0.2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8"/>
      <c r="Y138" s="37"/>
      <c r="Z138" s="8"/>
      <c r="AA138" s="9"/>
    </row>
    <row r="139" spans="1:27" s="3" customFormat="1" x14ac:dyDescent="0.2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8"/>
      <c r="Y139" s="37"/>
      <c r="Z139" s="8"/>
      <c r="AA139" s="9"/>
    </row>
    <row r="140" spans="1:27" s="3" customFormat="1" x14ac:dyDescent="0.2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8"/>
      <c r="Y140" s="37"/>
      <c r="Z140" s="8"/>
      <c r="AA140" s="9"/>
    </row>
    <row r="141" spans="1:27" s="3" customFormat="1" x14ac:dyDescent="0.2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8"/>
      <c r="Y141" s="37"/>
      <c r="Z141" s="8"/>
      <c r="AA141" s="9"/>
    </row>
    <row r="142" spans="1:27" s="3" customFormat="1" x14ac:dyDescent="0.2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8"/>
      <c r="Y142" s="37"/>
      <c r="Z142" s="8"/>
      <c r="AA142" s="9"/>
    </row>
    <row r="143" spans="1:27" s="3" customFormat="1" x14ac:dyDescent="0.2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8"/>
      <c r="Y143" s="37"/>
      <c r="Z143" s="8"/>
      <c r="AA143" s="9"/>
    </row>
    <row r="144" spans="1:27" s="3" customFormat="1" x14ac:dyDescent="0.2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8"/>
      <c r="Y144" s="37"/>
      <c r="Z144" s="8"/>
      <c r="AA144" s="9"/>
    </row>
    <row r="145" spans="1:27" s="3" customFormat="1" x14ac:dyDescent="0.2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8"/>
      <c r="Y145" s="37"/>
      <c r="Z145" s="8"/>
      <c r="AA145" s="9"/>
    </row>
    <row r="146" spans="1:27" s="3" customFormat="1" x14ac:dyDescent="0.2">
      <c r="A146" s="10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"/>
      <c r="W146" s="7"/>
      <c r="X146" s="8"/>
      <c r="Y146" s="37"/>
      <c r="Z146" s="8"/>
      <c r="AA146" s="9"/>
    </row>
    <row r="147" spans="1:27" x14ac:dyDescent="0.2">
      <c r="W147" s="7"/>
      <c r="X147" s="8"/>
      <c r="Y147" s="37"/>
      <c r="Z147" s="8"/>
    </row>
    <row r="148" spans="1:27" x14ac:dyDescent="0.2">
      <c r="W148" s="7"/>
      <c r="X148" s="8"/>
      <c r="Y148" s="37"/>
      <c r="Z148" s="8"/>
    </row>
    <row r="149" spans="1:27" x14ac:dyDescent="0.2">
      <c r="W149" s="7"/>
      <c r="X149" s="8"/>
      <c r="Y149" s="37"/>
      <c r="Z149" s="8"/>
    </row>
    <row r="150" spans="1:27" x14ac:dyDescent="0.2">
      <c r="W150" s="7"/>
      <c r="X150" s="8"/>
      <c r="Y150" s="37"/>
      <c r="Z150" s="8"/>
    </row>
    <row r="151" spans="1:27" x14ac:dyDescent="0.2">
      <c r="W151" s="7"/>
      <c r="X151" s="8"/>
      <c r="Y151" s="37"/>
      <c r="Z151" s="8"/>
    </row>
    <row r="152" spans="1:27" x14ac:dyDescent="0.2">
      <c r="W152" s="7"/>
      <c r="X152" s="8"/>
      <c r="Y152" s="37"/>
      <c r="Z152" s="8"/>
    </row>
  </sheetData>
  <sheetProtection sheet="1" objects="1" scenarios="1"/>
  <mergeCells count="16">
    <mergeCell ref="E38:N38"/>
    <mergeCell ref="Q38:S38"/>
    <mergeCell ref="E39:N39"/>
    <mergeCell ref="P34:P43"/>
    <mergeCell ref="S40:U41"/>
    <mergeCell ref="S42:U42"/>
    <mergeCell ref="E40:N40"/>
    <mergeCell ref="E41:N41"/>
    <mergeCell ref="E42:N42"/>
    <mergeCell ref="E43:N43"/>
    <mergeCell ref="Y1:Z1"/>
    <mergeCell ref="E34:N34"/>
    <mergeCell ref="E35:N35"/>
    <mergeCell ref="E36:N36"/>
    <mergeCell ref="Q36:S37"/>
    <mergeCell ref="E37:N37"/>
  </mergeCells>
  <conditionalFormatting sqref="A2:Z32">
    <cfRule type="expression" dxfId="532" priority="25">
      <formula>$B2=FERIADO</formula>
    </cfRule>
    <cfRule type="expression" dxfId="531" priority="26">
      <formula>$B2=DISPENSADO</formula>
    </cfRule>
    <cfRule type="expression" dxfId="530" priority="32">
      <formula>$B2=FERIAS</formula>
    </cfRule>
    <cfRule type="expression" dxfId="529" priority="33">
      <formula>$B2=MEIO_COMPENSADO</formula>
    </cfRule>
    <cfRule type="expression" dxfId="528" priority="34">
      <formula>$B2=COMPENSADO</formula>
    </cfRule>
    <cfRule type="expression" dxfId="527" priority="35">
      <formula>$B2=EXPEDIENTE_CORRIDO</formula>
    </cfRule>
    <cfRule type="expression" dxfId="526" priority="36">
      <formula>$B2="FIM DE SEMANA"</formula>
    </cfRule>
  </conditionalFormatting>
  <conditionalFormatting sqref="P2:X32 D2:G32">
    <cfRule type="cellIs" dxfId="525" priority="13" stopIfTrue="1" operator="lessThan">
      <formula>0</formula>
    </cfRule>
  </conditionalFormatting>
  <conditionalFormatting sqref="D2:G32">
    <cfRule type="expression" dxfId="524" priority="10" stopIfTrue="1">
      <formula>AND(NOT(ISBLANK(D2)),_xlfn.SINGLE($B:$B)=FERIAS)</formula>
    </cfRule>
    <cfRule type="notContainsBlanks" dxfId="523" priority="15">
      <formula>LEN(TRIM(D2))&gt;0</formula>
    </cfRule>
  </conditionalFormatting>
  <conditionalFormatting sqref="E2:F32">
    <cfRule type="expression" dxfId="522" priority="11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521" priority="14" stopIfTrue="1">
      <formula>H2&lt;&gt;D2</formula>
    </cfRule>
  </conditionalFormatting>
  <conditionalFormatting sqref="L2:L32">
    <cfRule type="expression" dxfId="520" priority="22">
      <formula>OR(AND($L2=TIMEVALUE("8:00"),OR($B2="DIA ÚTIL",$B2=MEIO_COMPENSADO,$B2=COMPENSADO)),AND($L2&gt;=TIMEVALUE("6:00"),$L2&lt;=TIMEVALUE("8:00"),$B2=EXPEDIENTE_CORRIDO))</formula>
    </cfRule>
    <cfRule type="expression" dxfId="519" priority="23">
      <formula>OR($L2&gt;TIMEVALUE("8:00"),AND($L2&gt;TIMEVALUE("0:00"),OR($B2=FERIADO,$B2="FIM DE SEMANA",$B2=DISPENSADO)))</formula>
    </cfRule>
    <cfRule type="expression" dxfId="518" priority="24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517" priority="37">
      <formula>AND(L2=0,$B2=FERIADO)</formula>
    </cfRule>
    <cfRule type="expression" dxfId="516" priority="38">
      <formula>AND(L2=0,$B2=DISPENSADO)</formula>
    </cfRule>
    <cfRule type="expression" dxfId="515" priority="39">
      <formula>AND(L2=0,$B2=FERIAS)</formula>
    </cfRule>
    <cfRule type="expression" dxfId="514" priority="40">
      <formula>AND(L2=0,$B2=MEIO_COMPENSADO)</formula>
    </cfRule>
    <cfRule type="expression" dxfId="513" priority="41">
      <formula>AND(L2=0,$B2=COMPENSADO)</formula>
    </cfRule>
    <cfRule type="expression" dxfId="512" priority="42">
      <formula>AND(L2=0,$B2=EXPEDIENTE_CORRIDO)</formula>
    </cfRule>
    <cfRule type="expression" dxfId="511" priority="43">
      <formula>AND(L2=0,$B2="FIM DE SEMANA")</formula>
    </cfRule>
    <cfRule type="expression" dxfId="510" priority="44">
      <formula>AND(L2=0,$B2="DIA ÚTIL")</formula>
    </cfRule>
  </conditionalFormatting>
  <conditionalFormatting sqref="M2:O32">
    <cfRule type="cellIs" dxfId="509" priority="16" operator="lessThan">
      <formula>0</formula>
    </cfRule>
    <cfRule type="cellIs" dxfId="508" priority="17" operator="greaterThan">
      <formula>0</formula>
    </cfRule>
  </conditionalFormatting>
  <conditionalFormatting sqref="O2:O32">
    <cfRule type="expression" dxfId="507" priority="12" stopIfTrue="1">
      <formula>IF(OR(TIPO_DE_PONTO="Comercial",$A2="Sexta"),$O2&gt;=TIMEVALUE("0:31"),$O2&gt;=TIMEVALUE("1:01"))</formula>
    </cfRule>
  </conditionalFormatting>
  <conditionalFormatting sqref="P2:P32">
    <cfRule type="cellIs" dxfId="506" priority="18" operator="greaterThan">
      <formula>0</formula>
    </cfRule>
  </conditionalFormatting>
  <conditionalFormatting sqref="P33">
    <cfRule type="cellIs" dxfId="505" priority="3" operator="greaterThan">
      <formula>0</formula>
    </cfRule>
  </conditionalFormatting>
  <conditionalFormatting sqref="Q36 W37">
    <cfRule type="cellIs" dxfId="504" priority="8" operator="greaterThan">
      <formula>0</formula>
    </cfRule>
    <cfRule type="cellIs" dxfId="503" priority="9" operator="lessThanOrEqual">
      <formula>0</formula>
    </cfRule>
  </conditionalFormatting>
  <conditionalFormatting sqref="Q2:S32">
    <cfRule type="cellIs" dxfId="502" priority="19" operator="greaterThan">
      <formula>0</formula>
    </cfRule>
  </conditionalFormatting>
  <conditionalFormatting sqref="Q33:S33">
    <cfRule type="cellIs" dxfId="501" priority="4" operator="greaterThan">
      <formula>0</formula>
    </cfRule>
  </conditionalFormatting>
  <conditionalFormatting sqref="S40">
    <cfRule type="cellIs" dxfId="500" priority="1" operator="lessThan">
      <formula>0</formula>
    </cfRule>
    <cfRule type="cellIs" dxfId="499" priority="2" operator="greaterThan">
      <formula>0</formula>
    </cfRule>
  </conditionalFormatting>
  <conditionalFormatting sqref="T2:T32">
    <cfRule type="cellIs" dxfId="498" priority="20" operator="greaterThan">
      <formula>0</formula>
    </cfRule>
  </conditionalFormatting>
  <conditionalFormatting sqref="T33">
    <cfRule type="cellIs" dxfId="497" priority="5" operator="greaterThan">
      <formula>0</formula>
    </cfRule>
  </conditionalFormatting>
  <conditionalFormatting sqref="U33 W33:X33">
    <cfRule type="cellIs" dxfId="496" priority="6" operator="greaterThan">
      <formula>0</formula>
    </cfRule>
  </conditionalFormatting>
  <conditionalFormatting sqref="U2:X32">
    <cfRule type="cellIs" dxfId="495" priority="21" operator="greaterThan">
      <formula>0</formula>
    </cfRule>
  </conditionalFormatting>
  <conditionalFormatting sqref="V33">
    <cfRule type="cellIs" dxfId="494" priority="7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4499-8813-4A43-975A-410E9FD329C4}">
  <sheetPr codeName="Planilha4">
    <tabColor rgb="FFFF0000"/>
  </sheetPr>
  <dimension ref="A1:BI156"/>
  <sheetViews>
    <sheetView zoomScale="85" zoomScaleNormal="85" workbookViewId="0">
      <pane ySplit="1" topLeftCell="A2" activePane="bottomLeft" state="frozen"/>
      <selection activeCell="F4" sqref="F4"/>
      <selection pane="bottomLeft" activeCell="G4" sqref="G4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7"/>
      <c r="E2" s="218"/>
      <c r="F2" s="218"/>
      <c r="G2" s="219"/>
      <c r="H2" s="47" t="e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#VALUE!</v>
      </c>
      <c r="I2" s="48" t="e">
        <f t="shared" ref="I2:I32" ca="1" si="1">IF(OR(AND(ISBLANK($E2),ISBLANK($F2)),$B:$B=FERIADO,$B:$B="FIM DE SEMANA",($F2-$E2)&gt;=TRUNC("1:00",6)),
  E2,
  "12:00")</f>
        <v>#VALUE!</v>
      </c>
      <c r="J2" s="48" t="e">
        <f t="shared" ref="J2:J32" ca="1" si="2">IF(OR(AND(ISBLANK($E2),ISBLANK($F2)),$B:$B=FERIADO,$B:$B="FIM DE SEMANA",($F2-$E2)&gt;=TRUNC("1:00",6)),
  F2,
  "13:00")</f>
        <v>#VALUE!</v>
      </c>
      <c r="K2" s="49" t="e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#VALUE!</v>
      </c>
      <c r="L2" s="73" t="e">
        <f ca="1">(I2-H2)+(K2-J2)</f>
        <v>#VALUE!</v>
      </c>
      <c r="M2" s="74" t="e">
        <f t="shared" ref="M2:M32" ca="1" si="4">IF(OR(L2=0,$B:$B="FIM DE SEMANA",$B:$B=FERIADO),
       0,
       IF(AND(TIPO_DE_PONTO="Construção",$A:$A="Sexta"),
           "7:00"-H2,
           "7:30"-H2))</f>
        <v>#VALUE!</v>
      </c>
      <c r="N2" s="74" t="e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8"/>
      <c r="R2" s="229"/>
      <c r="S2" s="230"/>
      <c r="T2" s="75" t="e">
        <f t="shared" ref="T2:T32" ca="1" si="7">IF(OR($B:$B="FIM DE SEMANA",$B:$B=FERIADO),
       TRUNC(L2-U2-V2-W2-X2,6),
       TRUNC(SUMIF(M2:O2,"&gt;0")-U2-V2-W2-X2,6))</f>
        <v>#VALUE!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20"/>
      <c r="E3" s="221"/>
      <c r="F3" s="221"/>
      <c r="G3" s="222"/>
      <c r="H3" s="161" t="e">
        <f t="shared" ca="1" si="0"/>
        <v>#VALUE!</v>
      </c>
      <c r="I3" s="141" t="e">
        <f t="shared" ca="1" si="1"/>
        <v>#VALUE!</v>
      </c>
      <c r="J3" s="141" t="e">
        <f t="shared" ca="1" si="2"/>
        <v>#VALUE!</v>
      </c>
      <c r="K3" s="170" t="e">
        <f t="shared" ca="1" si="3"/>
        <v>#VALUE!</v>
      </c>
      <c r="L3" s="163" t="e">
        <f t="shared" ref="L3:L32" ca="1" si="9">(I3-H3)+(K3-J3)</f>
        <v>#VALUE!</v>
      </c>
      <c r="M3" s="142" t="e">
        <f t="shared" ca="1" si="4"/>
        <v>#VALUE!</v>
      </c>
      <c r="N3" s="142" t="e">
        <f t="shared" ca="1" si="5"/>
        <v>#VALUE!</v>
      </c>
      <c r="O3" s="172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1"/>
      <c r="R3" s="229"/>
      <c r="S3" s="232"/>
      <c r="T3" s="80" t="e">
        <f t="shared" ca="1" si="7"/>
        <v>#VALUE!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20"/>
      <c r="E4" s="221"/>
      <c r="F4" s="221"/>
      <c r="G4" s="222"/>
      <c r="H4" s="161" t="e">
        <f t="shared" ca="1" si="0"/>
        <v>#VALUE!</v>
      </c>
      <c r="I4" s="141" t="e">
        <f t="shared" ca="1" si="1"/>
        <v>#VALUE!</v>
      </c>
      <c r="J4" s="141" t="e">
        <f t="shared" ca="1" si="2"/>
        <v>#VALUE!</v>
      </c>
      <c r="K4" s="170" t="e">
        <f t="shared" ca="1" si="3"/>
        <v>#VALUE!</v>
      </c>
      <c r="L4" s="163" t="e">
        <f t="shared" ca="1" si="9"/>
        <v>#VALUE!</v>
      </c>
      <c r="M4" s="142" t="e">
        <f t="shared" ca="1" si="4"/>
        <v>#VALUE!</v>
      </c>
      <c r="N4" s="142" t="e">
        <f t="shared" ca="1" si="5"/>
        <v>#VALUE!</v>
      </c>
      <c r="O4" s="172" t="e">
        <f t="shared" ca="1" si="6"/>
        <v>#VALUE!</v>
      </c>
      <c r="P4" s="80" t="e">
        <f t="shared" ca="1" si="10"/>
        <v>#VALUE!</v>
      </c>
      <c r="Q4" s="231"/>
      <c r="R4" s="233"/>
      <c r="S4" s="232"/>
      <c r="T4" s="80" t="e">
        <f t="shared" ca="1" si="7"/>
        <v>#VALUE!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20"/>
      <c r="E5" s="221"/>
      <c r="F5" s="221"/>
      <c r="G5" s="222"/>
      <c r="H5" s="161" t="e">
        <f t="shared" ca="1" si="0"/>
        <v>#VALUE!</v>
      </c>
      <c r="I5" s="141" t="e">
        <f t="shared" ca="1" si="1"/>
        <v>#VALUE!</v>
      </c>
      <c r="J5" s="141" t="e">
        <f t="shared" ca="1" si="2"/>
        <v>#VALUE!</v>
      </c>
      <c r="K5" s="170" t="e">
        <f t="shared" ca="1" si="3"/>
        <v>#VALUE!</v>
      </c>
      <c r="L5" s="163" t="e">
        <f t="shared" ca="1" si="9"/>
        <v>#VALUE!</v>
      </c>
      <c r="M5" s="142" t="e">
        <f t="shared" ca="1" si="4"/>
        <v>#VALUE!</v>
      </c>
      <c r="N5" s="142" t="e">
        <f t="shared" ca="1" si="5"/>
        <v>#VALUE!</v>
      </c>
      <c r="O5" s="172" t="e">
        <f t="shared" ca="1" si="6"/>
        <v>#VALUE!</v>
      </c>
      <c r="P5" s="80" t="e">
        <f t="shared" ca="1" si="10"/>
        <v>#VALUE!</v>
      </c>
      <c r="Q5" s="231"/>
      <c r="R5" s="233"/>
      <c r="S5" s="232"/>
      <c r="T5" s="80" t="e">
        <f t="shared" ca="1" si="7"/>
        <v>#VALUE!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20"/>
      <c r="E6" s="221"/>
      <c r="F6" s="221"/>
      <c r="G6" s="222"/>
      <c r="H6" s="161" t="e">
        <f t="shared" ca="1" si="0"/>
        <v>#VALUE!</v>
      </c>
      <c r="I6" s="141" t="e">
        <f t="shared" ca="1" si="1"/>
        <v>#VALUE!</v>
      </c>
      <c r="J6" s="141" t="e">
        <f t="shared" ca="1" si="2"/>
        <v>#VALUE!</v>
      </c>
      <c r="K6" s="170" t="e">
        <f t="shared" ca="1" si="3"/>
        <v>#VALUE!</v>
      </c>
      <c r="L6" s="163" t="e">
        <f t="shared" ca="1" si="9"/>
        <v>#VALUE!</v>
      </c>
      <c r="M6" s="142" t="e">
        <f t="shared" ca="1" si="4"/>
        <v>#VALUE!</v>
      </c>
      <c r="N6" s="142" t="e">
        <f t="shared" ca="1" si="5"/>
        <v>#VALUE!</v>
      </c>
      <c r="O6" s="172" t="e">
        <f t="shared" ca="1" si="6"/>
        <v>#VALUE!</v>
      </c>
      <c r="P6" s="80" t="e">
        <f t="shared" ca="1" si="10"/>
        <v>#VALUE!</v>
      </c>
      <c r="Q6" s="231"/>
      <c r="R6" s="233"/>
      <c r="S6" s="232"/>
      <c r="T6" s="80" t="e">
        <f t="shared" ca="1" si="7"/>
        <v>#VALUE!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20"/>
      <c r="E7" s="221"/>
      <c r="F7" s="221"/>
      <c r="G7" s="222"/>
      <c r="H7" s="161" t="e">
        <f t="shared" ca="1" si="0"/>
        <v>#VALUE!</v>
      </c>
      <c r="I7" s="141" t="e">
        <f t="shared" ca="1" si="1"/>
        <v>#VALUE!</v>
      </c>
      <c r="J7" s="141" t="e">
        <f t="shared" ca="1" si="2"/>
        <v>#VALUE!</v>
      </c>
      <c r="K7" s="170" t="e">
        <f t="shared" ca="1" si="3"/>
        <v>#VALUE!</v>
      </c>
      <c r="L7" s="163" t="e">
        <f t="shared" ca="1" si="9"/>
        <v>#VALUE!</v>
      </c>
      <c r="M7" s="142" t="e">
        <f t="shared" ca="1" si="4"/>
        <v>#VALUE!</v>
      </c>
      <c r="N7" s="142" t="e">
        <f t="shared" ca="1" si="5"/>
        <v>#VALUE!</v>
      </c>
      <c r="O7" s="172" t="e">
        <f t="shared" ca="1" si="6"/>
        <v>#VALUE!</v>
      </c>
      <c r="P7" s="80" t="e">
        <f t="shared" ca="1" si="10"/>
        <v>#VALUE!</v>
      </c>
      <c r="Q7" s="231"/>
      <c r="R7" s="233"/>
      <c r="S7" s="232"/>
      <c r="T7" s="80" t="e">
        <f t="shared" ca="1" si="7"/>
        <v>#VALUE!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20"/>
      <c r="E8" s="221"/>
      <c r="F8" s="221"/>
      <c r="G8" s="222"/>
      <c r="H8" s="161" t="e">
        <f t="shared" ca="1" si="0"/>
        <v>#VALUE!</v>
      </c>
      <c r="I8" s="141" t="e">
        <f t="shared" ca="1" si="1"/>
        <v>#VALUE!</v>
      </c>
      <c r="J8" s="141" t="e">
        <f t="shared" ca="1" si="2"/>
        <v>#VALUE!</v>
      </c>
      <c r="K8" s="170" t="e">
        <f t="shared" ca="1" si="3"/>
        <v>#VALUE!</v>
      </c>
      <c r="L8" s="163" t="e">
        <f t="shared" ca="1" si="9"/>
        <v>#VALUE!</v>
      </c>
      <c r="M8" s="142" t="e">
        <f t="shared" ca="1" si="4"/>
        <v>#VALUE!</v>
      </c>
      <c r="N8" s="142" t="e">
        <f t="shared" ca="1" si="5"/>
        <v>#VALUE!</v>
      </c>
      <c r="O8" s="172" t="e">
        <f t="shared" ca="1" si="6"/>
        <v>#VALUE!</v>
      </c>
      <c r="P8" s="80" t="e">
        <f t="shared" ca="1" si="10"/>
        <v>#VALUE!</v>
      </c>
      <c r="Q8" s="231"/>
      <c r="R8" s="233"/>
      <c r="S8" s="232"/>
      <c r="T8" s="80" t="e">
        <f t="shared" ca="1" si="7"/>
        <v>#VALUE!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20"/>
      <c r="E9" s="221"/>
      <c r="F9" s="221"/>
      <c r="G9" s="222"/>
      <c r="H9" s="161" t="e">
        <f t="shared" ca="1" si="0"/>
        <v>#VALUE!</v>
      </c>
      <c r="I9" s="141" t="e">
        <f t="shared" ca="1" si="1"/>
        <v>#VALUE!</v>
      </c>
      <c r="J9" s="141" t="e">
        <f t="shared" ca="1" si="2"/>
        <v>#VALUE!</v>
      </c>
      <c r="K9" s="170" t="e">
        <f t="shared" ca="1" si="3"/>
        <v>#VALUE!</v>
      </c>
      <c r="L9" s="163" t="e">
        <f t="shared" ca="1" si="9"/>
        <v>#VALUE!</v>
      </c>
      <c r="M9" s="142" t="e">
        <f t="shared" ca="1" si="4"/>
        <v>#VALUE!</v>
      </c>
      <c r="N9" s="142" t="e">
        <f t="shared" ca="1" si="5"/>
        <v>#VALUE!</v>
      </c>
      <c r="O9" s="172" t="e">
        <f t="shared" ca="1" si="6"/>
        <v>#VALUE!</v>
      </c>
      <c r="P9" s="80" t="e">
        <f t="shared" ca="1" si="10"/>
        <v>#VALUE!</v>
      </c>
      <c r="Q9" s="231"/>
      <c r="R9" s="233"/>
      <c r="S9" s="232"/>
      <c r="T9" s="80" t="e">
        <f t="shared" ca="1" si="7"/>
        <v>#VALUE!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20"/>
      <c r="E10" s="221"/>
      <c r="F10" s="221"/>
      <c r="G10" s="222"/>
      <c r="H10" s="161" t="e">
        <f t="shared" ca="1" si="0"/>
        <v>#VALUE!</v>
      </c>
      <c r="I10" s="141" t="e">
        <f t="shared" ca="1" si="1"/>
        <v>#VALUE!</v>
      </c>
      <c r="J10" s="141" t="e">
        <f t="shared" ca="1" si="2"/>
        <v>#VALUE!</v>
      </c>
      <c r="K10" s="170" t="e">
        <f t="shared" ca="1" si="3"/>
        <v>#VALUE!</v>
      </c>
      <c r="L10" s="163" t="e">
        <f t="shared" ca="1" si="9"/>
        <v>#VALUE!</v>
      </c>
      <c r="M10" s="142" t="e">
        <f t="shared" ca="1" si="4"/>
        <v>#VALUE!</v>
      </c>
      <c r="N10" s="142" t="e">
        <f t="shared" ca="1" si="5"/>
        <v>#VALUE!</v>
      </c>
      <c r="O10" s="172" t="e">
        <f t="shared" ca="1" si="6"/>
        <v>#VALUE!</v>
      </c>
      <c r="P10" s="80" t="e">
        <f t="shared" ca="1" si="10"/>
        <v>#VALUE!</v>
      </c>
      <c r="Q10" s="231"/>
      <c r="R10" s="233"/>
      <c r="S10" s="232"/>
      <c r="T10" s="80" t="e">
        <f t="shared" ca="1" si="7"/>
        <v>#VALUE!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20"/>
      <c r="E11" s="221"/>
      <c r="F11" s="221"/>
      <c r="G11" s="222"/>
      <c r="H11" s="161" t="e">
        <f t="shared" ca="1" si="0"/>
        <v>#VALUE!</v>
      </c>
      <c r="I11" s="141" t="e">
        <f t="shared" ca="1" si="1"/>
        <v>#VALUE!</v>
      </c>
      <c r="J11" s="141" t="e">
        <f t="shared" ca="1" si="2"/>
        <v>#VALUE!</v>
      </c>
      <c r="K11" s="170" t="e">
        <f t="shared" ca="1" si="3"/>
        <v>#VALUE!</v>
      </c>
      <c r="L11" s="163" t="e">
        <f t="shared" ca="1" si="9"/>
        <v>#VALUE!</v>
      </c>
      <c r="M11" s="142" t="e">
        <f t="shared" ca="1" si="4"/>
        <v>#VALUE!</v>
      </c>
      <c r="N11" s="142" t="e">
        <f t="shared" ca="1" si="5"/>
        <v>#VALUE!</v>
      </c>
      <c r="O11" s="172" t="e">
        <f t="shared" ca="1" si="6"/>
        <v>#VALUE!</v>
      </c>
      <c r="P11" s="80" t="e">
        <f t="shared" ca="1" si="10"/>
        <v>#VALUE!</v>
      </c>
      <c r="Q11" s="231"/>
      <c r="R11" s="233"/>
      <c r="S11" s="232"/>
      <c r="T11" s="80" t="e">
        <f t="shared" ca="1" si="7"/>
        <v>#VALUE!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20"/>
      <c r="E12" s="221"/>
      <c r="F12" s="221"/>
      <c r="G12" s="222"/>
      <c r="H12" s="161" t="e">
        <f t="shared" ca="1" si="0"/>
        <v>#VALUE!</v>
      </c>
      <c r="I12" s="141" t="e">
        <f t="shared" ca="1" si="1"/>
        <v>#VALUE!</v>
      </c>
      <c r="J12" s="141" t="e">
        <f t="shared" ca="1" si="2"/>
        <v>#VALUE!</v>
      </c>
      <c r="K12" s="170" t="e">
        <f t="shared" ca="1" si="3"/>
        <v>#VALUE!</v>
      </c>
      <c r="L12" s="163" t="e">
        <f t="shared" ca="1" si="9"/>
        <v>#VALUE!</v>
      </c>
      <c r="M12" s="142" t="e">
        <f t="shared" ca="1" si="4"/>
        <v>#VALUE!</v>
      </c>
      <c r="N12" s="142" t="e">
        <f t="shared" ca="1" si="5"/>
        <v>#VALUE!</v>
      </c>
      <c r="O12" s="172" t="e">
        <f t="shared" ca="1" si="6"/>
        <v>#VALUE!</v>
      </c>
      <c r="P12" s="80" t="e">
        <f t="shared" ca="1" si="10"/>
        <v>#VALUE!</v>
      </c>
      <c r="Q12" s="231"/>
      <c r="R12" s="233"/>
      <c r="S12" s="232"/>
      <c r="T12" s="80" t="e">
        <f t="shared" ca="1" si="7"/>
        <v>#VALUE!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20"/>
      <c r="E13" s="221"/>
      <c r="F13" s="221"/>
      <c r="G13" s="222"/>
      <c r="H13" s="161" t="e">
        <f t="shared" ca="1" si="0"/>
        <v>#VALUE!</v>
      </c>
      <c r="I13" s="141" t="e">
        <f t="shared" ca="1" si="1"/>
        <v>#VALUE!</v>
      </c>
      <c r="J13" s="141" t="e">
        <f t="shared" ca="1" si="2"/>
        <v>#VALUE!</v>
      </c>
      <c r="K13" s="170" t="e">
        <f t="shared" ca="1" si="3"/>
        <v>#VALUE!</v>
      </c>
      <c r="L13" s="163" t="e">
        <f t="shared" ca="1" si="9"/>
        <v>#VALUE!</v>
      </c>
      <c r="M13" s="142" t="e">
        <f t="shared" ca="1" si="4"/>
        <v>#VALUE!</v>
      </c>
      <c r="N13" s="142" t="e">
        <f t="shared" ca="1" si="5"/>
        <v>#VALUE!</v>
      </c>
      <c r="O13" s="172" t="e">
        <f t="shared" ca="1" si="6"/>
        <v>#VALUE!</v>
      </c>
      <c r="P13" s="80" t="e">
        <f t="shared" ca="1" si="10"/>
        <v>#VALUE!</v>
      </c>
      <c r="Q13" s="231"/>
      <c r="R13" s="233"/>
      <c r="S13" s="232"/>
      <c r="T13" s="80" t="e">
        <f t="shared" ca="1" si="7"/>
        <v>#VALUE!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20"/>
      <c r="E14" s="221"/>
      <c r="F14" s="221"/>
      <c r="G14" s="222"/>
      <c r="H14" s="161" t="e">
        <f t="shared" ca="1" si="0"/>
        <v>#VALUE!</v>
      </c>
      <c r="I14" s="141" t="e">
        <f t="shared" ca="1" si="1"/>
        <v>#VALUE!</v>
      </c>
      <c r="J14" s="141" t="e">
        <f t="shared" ca="1" si="2"/>
        <v>#VALUE!</v>
      </c>
      <c r="K14" s="170" t="e">
        <f t="shared" ca="1" si="3"/>
        <v>#VALUE!</v>
      </c>
      <c r="L14" s="163" t="e">
        <f t="shared" ca="1" si="9"/>
        <v>#VALUE!</v>
      </c>
      <c r="M14" s="142" t="e">
        <f t="shared" ca="1" si="4"/>
        <v>#VALUE!</v>
      </c>
      <c r="N14" s="142" t="e">
        <f t="shared" ca="1" si="5"/>
        <v>#VALUE!</v>
      </c>
      <c r="O14" s="172" t="e">
        <f t="shared" ca="1" si="6"/>
        <v>#VALUE!</v>
      </c>
      <c r="P14" s="80" t="e">
        <f t="shared" ca="1" si="10"/>
        <v>#VALUE!</v>
      </c>
      <c r="Q14" s="231"/>
      <c r="R14" s="233"/>
      <c r="S14" s="232"/>
      <c r="T14" s="80" t="e">
        <f t="shared" ca="1" si="7"/>
        <v>#VALUE!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20"/>
      <c r="E15" s="221"/>
      <c r="F15" s="221"/>
      <c r="G15" s="222"/>
      <c r="H15" s="161" t="e">
        <f t="shared" ca="1" si="0"/>
        <v>#VALUE!</v>
      </c>
      <c r="I15" s="141" t="e">
        <f t="shared" ca="1" si="1"/>
        <v>#VALUE!</v>
      </c>
      <c r="J15" s="141" t="e">
        <f t="shared" ca="1" si="2"/>
        <v>#VALUE!</v>
      </c>
      <c r="K15" s="170" t="e">
        <f t="shared" ca="1" si="3"/>
        <v>#VALUE!</v>
      </c>
      <c r="L15" s="163" t="e">
        <f t="shared" ca="1" si="9"/>
        <v>#VALUE!</v>
      </c>
      <c r="M15" s="142" t="e">
        <f t="shared" ca="1" si="4"/>
        <v>#VALUE!</v>
      </c>
      <c r="N15" s="142" t="e">
        <f t="shared" ca="1" si="5"/>
        <v>#VALUE!</v>
      </c>
      <c r="O15" s="172" t="e">
        <f t="shared" ca="1" si="6"/>
        <v>#VALUE!</v>
      </c>
      <c r="P15" s="80" t="e">
        <f t="shared" ca="1" si="10"/>
        <v>#VALUE!</v>
      </c>
      <c r="Q15" s="231"/>
      <c r="R15" s="233"/>
      <c r="S15" s="232"/>
      <c r="T15" s="80" t="e">
        <f t="shared" ca="1" si="7"/>
        <v>#VALUE!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20"/>
      <c r="E16" s="221"/>
      <c r="F16" s="221"/>
      <c r="G16" s="222"/>
      <c r="H16" s="161" t="e">
        <f t="shared" ca="1" si="0"/>
        <v>#VALUE!</v>
      </c>
      <c r="I16" s="141" t="e">
        <f t="shared" ca="1" si="1"/>
        <v>#VALUE!</v>
      </c>
      <c r="J16" s="141" t="e">
        <f t="shared" ca="1" si="2"/>
        <v>#VALUE!</v>
      </c>
      <c r="K16" s="170" t="e">
        <f t="shared" ca="1" si="3"/>
        <v>#VALUE!</v>
      </c>
      <c r="L16" s="163" t="e">
        <f t="shared" ca="1" si="9"/>
        <v>#VALUE!</v>
      </c>
      <c r="M16" s="142" t="e">
        <f t="shared" ca="1" si="4"/>
        <v>#VALUE!</v>
      </c>
      <c r="N16" s="142" t="e">
        <f t="shared" ca="1" si="5"/>
        <v>#VALUE!</v>
      </c>
      <c r="O16" s="172" t="e">
        <f t="shared" ca="1" si="6"/>
        <v>#VALUE!</v>
      </c>
      <c r="P16" s="80" t="e">
        <f t="shared" ca="1" si="10"/>
        <v>#VALUE!</v>
      </c>
      <c r="Q16" s="231"/>
      <c r="R16" s="233"/>
      <c r="S16" s="232"/>
      <c r="T16" s="80" t="e">
        <f t="shared" ca="1" si="7"/>
        <v>#VALUE!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20"/>
      <c r="E17" s="221"/>
      <c r="F17" s="221"/>
      <c r="G17" s="222"/>
      <c r="H17" s="161" t="e">
        <f t="shared" ca="1" si="0"/>
        <v>#VALUE!</v>
      </c>
      <c r="I17" s="141" t="e">
        <f t="shared" ca="1" si="1"/>
        <v>#VALUE!</v>
      </c>
      <c r="J17" s="141" t="e">
        <f t="shared" ca="1" si="2"/>
        <v>#VALUE!</v>
      </c>
      <c r="K17" s="170" t="e">
        <f t="shared" ca="1" si="3"/>
        <v>#VALUE!</v>
      </c>
      <c r="L17" s="163" t="e">
        <f t="shared" ca="1" si="9"/>
        <v>#VALUE!</v>
      </c>
      <c r="M17" s="142" t="e">
        <f t="shared" ca="1" si="4"/>
        <v>#VALUE!</v>
      </c>
      <c r="N17" s="142" t="e">
        <f t="shared" ca="1" si="5"/>
        <v>#VALUE!</v>
      </c>
      <c r="O17" s="172" t="e">
        <f t="shared" ca="1" si="6"/>
        <v>#VALUE!</v>
      </c>
      <c r="P17" s="80" t="e">
        <f t="shared" ca="1" si="10"/>
        <v>#VALUE!</v>
      </c>
      <c r="Q17" s="231"/>
      <c r="R17" s="233"/>
      <c r="S17" s="232"/>
      <c r="T17" s="80" t="e">
        <f t="shared" ca="1" si="7"/>
        <v>#VALUE!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20"/>
      <c r="E18" s="221"/>
      <c r="F18" s="221"/>
      <c r="G18" s="222"/>
      <c r="H18" s="161" t="e">
        <f t="shared" ca="1" si="0"/>
        <v>#VALUE!</v>
      </c>
      <c r="I18" s="141" t="e">
        <f t="shared" ca="1" si="1"/>
        <v>#VALUE!</v>
      </c>
      <c r="J18" s="141" t="e">
        <f t="shared" ca="1" si="2"/>
        <v>#VALUE!</v>
      </c>
      <c r="K18" s="170" t="e">
        <f t="shared" ca="1" si="3"/>
        <v>#VALUE!</v>
      </c>
      <c r="L18" s="163" t="e">
        <f t="shared" ca="1" si="9"/>
        <v>#VALUE!</v>
      </c>
      <c r="M18" s="142" t="e">
        <f t="shared" ca="1" si="4"/>
        <v>#VALUE!</v>
      </c>
      <c r="N18" s="142" t="e">
        <f t="shared" ca="1" si="5"/>
        <v>#VALUE!</v>
      </c>
      <c r="O18" s="172" t="e">
        <f t="shared" ca="1" si="6"/>
        <v>#VALUE!</v>
      </c>
      <c r="P18" s="80" t="e">
        <f t="shared" ca="1" si="10"/>
        <v>#VALUE!</v>
      </c>
      <c r="Q18" s="231"/>
      <c r="R18" s="233"/>
      <c r="S18" s="232"/>
      <c r="T18" s="80" t="e">
        <f t="shared" ca="1" si="7"/>
        <v>#VALUE!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20"/>
      <c r="E19" s="221"/>
      <c r="F19" s="221"/>
      <c r="G19" s="222"/>
      <c r="H19" s="161" t="e">
        <f t="shared" ca="1" si="0"/>
        <v>#VALUE!</v>
      </c>
      <c r="I19" s="141" t="e">
        <f t="shared" ca="1" si="1"/>
        <v>#VALUE!</v>
      </c>
      <c r="J19" s="141" t="e">
        <f t="shared" ca="1" si="2"/>
        <v>#VALUE!</v>
      </c>
      <c r="K19" s="170" t="e">
        <f t="shared" ca="1" si="3"/>
        <v>#VALUE!</v>
      </c>
      <c r="L19" s="163" t="e">
        <f t="shared" ca="1" si="9"/>
        <v>#VALUE!</v>
      </c>
      <c r="M19" s="142" t="e">
        <f t="shared" ca="1" si="4"/>
        <v>#VALUE!</v>
      </c>
      <c r="N19" s="142" t="e">
        <f t="shared" ca="1" si="5"/>
        <v>#VALUE!</v>
      </c>
      <c r="O19" s="172" t="e">
        <f t="shared" ca="1" si="6"/>
        <v>#VALUE!</v>
      </c>
      <c r="P19" s="80" t="e">
        <f t="shared" ca="1" si="10"/>
        <v>#VALUE!</v>
      </c>
      <c r="Q19" s="231"/>
      <c r="R19" s="233"/>
      <c r="S19" s="232"/>
      <c r="T19" s="80" t="e">
        <f t="shared" ca="1" si="7"/>
        <v>#VALUE!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20"/>
      <c r="E20" s="221"/>
      <c r="F20" s="221"/>
      <c r="G20" s="222"/>
      <c r="H20" s="161" t="e">
        <f t="shared" ca="1" si="0"/>
        <v>#VALUE!</v>
      </c>
      <c r="I20" s="141" t="e">
        <f t="shared" ca="1" si="1"/>
        <v>#VALUE!</v>
      </c>
      <c r="J20" s="141" t="e">
        <f t="shared" ca="1" si="2"/>
        <v>#VALUE!</v>
      </c>
      <c r="K20" s="170" t="e">
        <f t="shared" ca="1" si="3"/>
        <v>#VALUE!</v>
      </c>
      <c r="L20" s="163" t="e">
        <f t="shared" ca="1" si="9"/>
        <v>#VALUE!</v>
      </c>
      <c r="M20" s="142" t="e">
        <f t="shared" ca="1" si="4"/>
        <v>#VALUE!</v>
      </c>
      <c r="N20" s="142" t="e">
        <f t="shared" ca="1" si="5"/>
        <v>#VALUE!</v>
      </c>
      <c r="O20" s="172" t="e">
        <f t="shared" ca="1" si="6"/>
        <v>#VALUE!</v>
      </c>
      <c r="P20" s="80" t="e">
        <f t="shared" ca="1" si="10"/>
        <v>#VALUE!</v>
      </c>
      <c r="Q20" s="231"/>
      <c r="R20" s="233"/>
      <c r="S20" s="232"/>
      <c r="T20" s="80" t="e">
        <f t="shared" ca="1" si="7"/>
        <v>#VALUE!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20"/>
      <c r="E21" s="221"/>
      <c r="F21" s="221"/>
      <c r="G21" s="222"/>
      <c r="H21" s="161" t="e">
        <f t="shared" ca="1" si="0"/>
        <v>#VALUE!</v>
      </c>
      <c r="I21" s="141" t="e">
        <f t="shared" ca="1" si="1"/>
        <v>#VALUE!</v>
      </c>
      <c r="J21" s="141" t="e">
        <f t="shared" ca="1" si="2"/>
        <v>#VALUE!</v>
      </c>
      <c r="K21" s="170" t="e">
        <f t="shared" ca="1" si="3"/>
        <v>#VALUE!</v>
      </c>
      <c r="L21" s="163" t="e">
        <f t="shared" ca="1" si="9"/>
        <v>#VALUE!</v>
      </c>
      <c r="M21" s="142" t="e">
        <f t="shared" ca="1" si="4"/>
        <v>#VALUE!</v>
      </c>
      <c r="N21" s="142" t="e">
        <f t="shared" ca="1" si="5"/>
        <v>#VALUE!</v>
      </c>
      <c r="O21" s="172" t="e">
        <f t="shared" ca="1" si="6"/>
        <v>#VALUE!</v>
      </c>
      <c r="P21" s="80" t="e">
        <f t="shared" ca="1" si="10"/>
        <v>#VALUE!</v>
      </c>
      <c r="Q21" s="231"/>
      <c r="R21" s="233"/>
      <c r="S21" s="232"/>
      <c r="T21" s="80" t="e">
        <f t="shared" ca="1" si="7"/>
        <v>#VALUE!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20"/>
      <c r="E22" s="221"/>
      <c r="F22" s="221"/>
      <c r="G22" s="222"/>
      <c r="H22" s="161" t="e">
        <f t="shared" ca="1" si="0"/>
        <v>#VALUE!</v>
      </c>
      <c r="I22" s="141" t="e">
        <f t="shared" ca="1" si="1"/>
        <v>#VALUE!</v>
      </c>
      <c r="J22" s="141" t="e">
        <f t="shared" ca="1" si="2"/>
        <v>#VALUE!</v>
      </c>
      <c r="K22" s="170" t="e">
        <f t="shared" ca="1" si="3"/>
        <v>#VALUE!</v>
      </c>
      <c r="L22" s="163" t="e">
        <f t="shared" ca="1" si="9"/>
        <v>#VALUE!</v>
      </c>
      <c r="M22" s="142" t="e">
        <f t="shared" ca="1" si="4"/>
        <v>#VALUE!</v>
      </c>
      <c r="N22" s="142" t="e">
        <f t="shared" ca="1" si="5"/>
        <v>#VALUE!</v>
      </c>
      <c r="O22" s="172" t="e">
        <f t="shared" ca="1" si="6"/>
        <v>#VALUE!</v>
      </c>
      <c r="P22" s="80" t="e">
        <f t="shared" ca="1" si="10"/>
        <v>#VALUE!</v>
      </c>
      <c r="Q22" s="231"/>
      <c r="R22" s="233"/>
      <c r="S22" s="232"/>
      <c r="T22" s="80" t="e">
        <f t="shared" ca="1" si="7"/>
        <v>#VALUE!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20"/>
      <c r="E23" s="221"/>
      <c r="F23" s="223"/>
      <c r="G23" s="222"/>
      <c r="H23" s="161" t="e">
        <f t="shared" ca="1" si="0"/>
        <v>#VALUE!</v>
      </c>
      <c r="I23" s="141" t="e">
        <f t="shared" ca="1" si="1"/>
        <v>#VALUE!</v>
      </c>
      <c r="J23" s="141" t="e">
        <f t="shared" ca="1" si="2"/>
        <v>#VALUE!</v>
      </c>
      <c r="K23" s="170" t="e">
        <f t="shared" ca="1" si="3"/>
        <v>#VALUE!</v>
      </c>
      <c r="L23" s="163" t="e">
        <f t="shared" ca="1" si="9"/>
        <v>#VALUE!</v>
      </c>
      <c r="M23" s="142" t="e">
        <f t="shared" ca="1" si="4"/>
        <v>#VALUE!</v>
      </c>
      <c r="N23" s="142" t="e">
        <f t="shared" ca="1" si="5"/>
        <v>#VALUE!</v>
      </c>
      <c r="O23" s="172" t="e">
        <f t="shared" ca="1" si="6"/>
        <v>#VALUE!</v>
      </c>
      <c r="P23" s="80" t="e">
        <f t="shared" ca="1" si="10"/>
        <v>#VALUE!</v>
      </c>
      <c r="Q23" s="231"/>
      <c r="R23" s="233"/>
      <c r="S23" s="232"/>
      <c r="T23" s="80" t="e">
        <f t="shared" ca="1" si="7"/>
        <v>#VALUE!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20"/>
      <c r="E24" s="224"/>
      <c r="F24" s="221"/>
      <c r="G24" s="222"/>
      <c r="H24" s="161" t="e">
        <f t="shared" ca="1" si="0"/>
        <v>#VALUE!</v>
      </c>
      <c r="I24" s="141" t="e">
        <f t="shared" ca="1" si="1"/>
        <v>#VALUE!</v>
      </c>
      <c r="J24" s="141" t="e">
        <f t="shared" ca="1" si="2"/>
        <v>#VALUE!</v>
      </c>
      <c r="K24" s="170" t="e">
        <f t="shared" ca="1" si="3"/>
        <v>#VALUE!</v>
      </c>
      <c r="L24" s="163" t="e">
        <f t="shared" ca="1" si="9"/>
        <v>#VALUE!</v>
      </c>
      <c r="M24" s="142" t="e">
        <f t="shared" ca="1" si="4"/>
        <v>#VALUE!</v>
      </c>
      <c r="N24" s="142" t="e">
        <f t="shared" ca="1" si="5"/>
        <v>#VALUE!</v>
      </c>
      <c r="O24" s="172" t="e">
        <f t="shared" ca="1" si="6"/>
        <v>#VALUE!</v>
      </c>
      <c r="P24" s="80" t="e">
        <f t="shared" ca="1" si="10"/>
        <v>#VALUE!</v>
      </c>
      <c r="Q24" s="231"/>
      <c r="R24" s="233"/>
      <c r="S24" s="232"/>
      <c r="T24" s="80" t="e">
        <f t="shared" ca="1" si="7"/>
        <v>#VALUE!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20"/>
      <c r="E25" s="224"/>
      <c r="F25" s="221"/>
      <c r="G25" s="222"/>
      <c r="H25" s="161" t="e">
        <f t="shared" ca="1" si="0"/>
        <v>#VALUE!</v>
      </c>
      <c r="I25" s="141" t="e">
        <f t="shared" ca="1" si="1"/>
        <v>#VALUE!</v>
      </c>
      <c r="J25" s="141" t="e">
        <f t="shared" ca="1" si="2"/>
        <v>#VALUE!</v>
      </c>
      <c r="K25" s="170" t="e">
        <f t="shared" ca="1" si="3"/>
        <v>#VALUE!</v>
      </c>
      <c r="L25" s="163" t="e">
        <f t="shared" ca="1" si="9"/>
        <v>#VALUE!</v>
      </c>
      <c r="M25" s="142" t="e">
        <f t="shared" ca="1" si="4"/>
        <v>#VALUE!</v>
      </c>
      <c r="N25" s="142" t="e">
        <f t="shared" ca="1" si="5"/>
        <v>#VALUE!</v>
      </c>
      <c r="O25" s="172" t="e">
        <f t="shared" ca="1" si="6"/>
        <v>#VALUE!</v>
      </c>
      <c r="P25" s="80" t="e">
        <f t="shared" ca="1" si="10"/>
        <v>#VALUE!</v>
      </c>
      <c r="Q25" s="231"/>
      <c r="R25" s="233"/>
      <c r="S25" s="232"/>
      <c r="T25" s="80" t="e">
        <f t="shared" ca="1" si="7"/>
        <v>#VALUE!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20"/>
      <c r="E26" s="221"/>
      <c r="F26" s="221"/>
      <c r="G26" s="222"/>
      <c r="H26" s="161" t="e">
        <f t="shared" ca="1" si="0"/>
        <v>#VALUE!</v>
      </c>
      <c r="I26" s="141" t="e">
        <f t="shared" ca="1" si="1"/>
        <v>#VALUE!</v>
      </c>
      <c r="J26" s="141" t="e">
        <f t="shared" ca="1" si="2"/>
        <v>#VALUE!</v>
      </c>
      <c r="K26" s="170" t="e">
        <f t="shared" ca="1" si="3"/>
        <v>#VALUE!</v>
      </c>
      <c r="L26" s="163" t="e">
        <f t="shared" ca="1" si="9"/>
        <v>#VALUE!</v>
      </c>
      <c r="M26" s="142" t="e">
        <f t="shared" ca="1" si="4"/>
        <v>#VALUE!</v>
      </c>
      <c r="N26" s="142" t="e">
        <f t="shared" ca="1" si="5"/>
        <v>#VALUE!</v>
      </c>
      <c r="O26" s="172" t="e">
        <f t="shared" ca="1" si="6"/>
        <v>#VALUE!</v>
      </c>
      <c r="P26" s="80" t="e">
        <f t="shared" ca="1" si="10"/>
        <v>#VALUE!</v>
      </c>
      <c r="Q26" s="231"/>
      <c r="R26" s="233"/>
      <c r="S26" s="232"/>
      <c r="T26" s="80" t="e">
        <f t="shared" ca="1" si="7"/>
        <v>#VALUE!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20"/>
      <c r="E27" s="221"/>
      <c r="F27" s="221"/>
      <c r="G27" s="222"/>
      <c r="H27" s="161" t="e">
        <f t="shared" ca="1" si="0"/>
        <v>#VALUE!</v>
      </c>
      <c r="I27" s="141" t="e">
        <f t="shared" ca="1" si="1"/>
        <v>#VALUE!</v>
      </c>
      <c r="J27" s="141" t="e">
        <f t="shared" ca="1" si="2"/>
        <v>#VALUE!</v>
      </c>
      <c r="K27" s="170" t="e">
        <f t="shared" ca="1" si="3"/>
        <v>#VALUE!</v>
      </c>
      <c r="L27" s="163" t="e">
        <f t="shared" ca="1" si="9"/>
        <v>#VALUE!</v>
      </c>
      <c r="M27" s="142" t="e">
        <f t="shared" ca="1" si="4"/>
        <v>#VALUE!</v>
      </c>
      <c r="N27" s="142" t="e">
        <f t="shared" ca="1" si="5"/>
        <v>#VALUE!</v>
      </c>
      <c r="O27" s="172" t="e">
        <f t="shared" ca="1" si="6"/>
        <v>#VALUE!</v>
      </c>
      <c r="P27" s="80" t="e">
        <f t="shared" ca="1" si="10"/>
        <v>#VALUE!</v>
      </c>
      <c r="Q27" s="231"/>
      <c r="R27" s="233"/>
      <c r="S27" s="232"/>
      <c r="T27" s="80" t="e">
        <f t="shared" ca="1" si="7"/>
        <v>#VALUE!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20"/>
      <c r="E28" s="221"/>
      <c r="F28" s="221"/>
      <c r="G28" s="222"/>
      <c r="H28" s="161" t="e">
        <f t="shared" ca="1" si="0"/>
        <v>#VALUE!</v>
      </c>
      <c r="I28" s="141" t="e">
        <f t="shared" ca="1" si="1"/>
        <v>#VALUE!</v>
      </c>
      <c r="J28" s="141" t="e">
        <f t="shared" ca="1" si="2"/>
        <v>#VALUE!</v>
      </c>
      <c r="K28" s="170" t="e">
        <f t="shared" ca="1" si="3"/>
        <v>#VALUE!</v>
      </c>
      <c r="L28" s="163" t="e">
        <f t="shared" ca="1" si="9"/>
        <v>#VALUE!</v>
      </c>
      <c r="M28" s="142" t="e">
        <f t="shared" ca="1" si="4"/>
        <v>#VALUE!</v>
      </c>
      <c r="N28" s="142" t="e">
        <f t="shared" ca="1" si="5"/>
        <v>#VALUE!</v>
      </c>
      <c r="O28" s="172" t="e">
        <f t="shared" ca="1" si="6"/>
        <v>#VALUE!</v>
      </c>
      <c r="P28" s="80" t="e">
        <f t="shared" ca="1" si="10"/>
        <v>#VALUE!</v>
      </c>
      <c r="Q28" s="231"/>
      <c r="R28" s="233"/>
      <c r="S28" s="232"/>
      <c r="T28" s="80" t="e">
        <f t="shared" ca="1" si="7"/>
        <v>#VALUE!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20"/>
      <c r="E29" s="221"/>
      <c r="F29" s="221"/>
      <c r="G29" s="222"/>
      <c r="H29" s="161" t="e">
        <f t="shared" ca="1" si="0"/>
        <v>#VALUE!</v>
      </c>
      <c r="I29" s="141" t="e">
        <f t="shared" ca="1" si="1"/>
        <v>#VALUE!</v>
      </c>
      <c r="J29" s="141" t="e">
        <f t="shared" ca="1" si="2"/>
        <v>#VALUE!</v>
      </c>
      <c r="K29" s="170" t="e">
        <f t="shared" ca="1" si="3"/>
        <v>#VALUE!</v>
      </c>
      <c r="L29" s="163" t="e">
        <f t="shared" ca="1" si="9"/>
        <v>#VALUE!</v>
      </c>
      <c r="M29" s="142" t="e">
        <f t="shared" ca="1" si="4"/>
        <v>#VALUE!</v>
      </c>
      <c r="N29" s="142" t="e">
        <f t="shared" ca="1" si="5"/>
        <v>#VALUE!</v>
      </c>
      <c r="O29" s="172" t="e">
        <f t="shared" ca="1" si="6"/>
        <v>#VALUE!</v>
      </c>
      <c r="P29" s="80" t="e">
        <f t="shared" ca="1" si="10"/>
        <v>#VALUE!</v>
      </c>
      <c r="Q29" s="231"/>
      <c r="R29" s="233"/>
      <c r="S29" s="232"/>
      <c r="T29" s="80" t="e">
        <f t="shared" ca="1" si="7"/>
        <v>#VALUE!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20"/>
      <c r="E30" s="221"/>
      <c r="F30" s="221"/>
      <c r="G30" s="222"/>
      <c r="H30" s="161" t="e">
        <f t="shared" ca="1" si="0"/>
        <v>#VALUE!</v>
      </c>
      <c r="I30" s="141" t="e">
        <f t="shared" ca="1" si="1"/>
        <v>#VALUE!</v>
      </c>
      <c r="J30" s="141" t="e">
        <f t="shared" ca="1" si="2"/>
        <v>#VALUE!</v>
      </c>
      <c r="K30" s="170" t="e">
        <f t="shared" ca="1" si="3"/>
        <v>#VALUE!</v>
      </c>
      <c r="L30" s="163" t="e">
        <f ca="1">(I30-H30)+(K30-J30)</f>
        <v>#VALUE!</v>
      </c>
      <c r="M30" s="142" t="e">
        <f t="shared" ca="1" si="4"/>
        <v>#VALUE!</v>
      </c>
      <c r="N30" s="142" t="e">
        <f t="shared" ca="1" si="5"/>
        <v>#VALUE!</v>
      </c>
      <c r="O30" s="172" t="e">
        <f t="shared" ca="1" si="6"/>
        <v>#VALUE!</v>
      </c>
      <c r="P30" s="80" t="e">
        <f t="shared" ca="1" si="10"/>
        <v>#VALUE!</v>
      </c>
      <c r="Q30" s="231"/>
      <c r="R30" s="233"/>
      <c r="S30" s="232"/>
      <c r="T30" s="80" t="e">
        <f t="shared" ca="1" si="7"/>
        <v>#VALUE!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20"/>
      <c r="E31" s="221"/>
      <c r="F31" s="221"/>
      <c r="G31" s="222"/>
      <c r="H31" s="161" t="e">
        <f t="shared" ca="1" si="0"/>
        <v>#VALUE!</v>
      </c>
      <c r="I31" s="141" t="e">
        <f t="shared" ca="1" si="1"/>
        <v>#VALUE!</v>
      </c>
      <c r="J31" s="141" t="e">
        <f t="shared" ca="1" si="2"/>
        <v>#VALUE!</v>
      </c>
      <c r="K31" s="170" t="e">
        <f t="shared" ca="1" si="3"/>
        <v>#VALUE!</v>
      </c>
      <c r="L31" s="163" t="e">
        <f t="shared" ca="1" si="9"/>
        <v>#VALUE!</v>
      </c>
      <c r="M31" s="142" t="e">
        <f t="shared" ca="1" si="4"/>
        <v>#VALUE!</v>
      </c>
      <c r="N31" s="142" t="e">
        <f t="shared" ca="1" si="5"/>
        <v>#VALUE!</v>
      </c>
      <c r="O31" s="172" t="e">
        <f t="shared" ca="1" si="6"/>
        <v>#VALUE!</v>
      </c>
      <c r="P31" s="80" t="e">
        <f t="shared" ca="1" si="10"/>
        <v>#VALUE!</v>
      </c>
      <c r="Q31" s="231"/>
      <c r="R31" s="233"/>
      <c r="S31" s="232"/>
      <c r="T31" s="80" t="e">
        <f t="shared" ca="1" si="7"/>
        <v>#VALUE!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e">
        <f t="shared" ca="1" si="8"/>
        <v>#VALUE!</v>
      </c>
      <c r="B32" s="149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5"/>
      <c r="E32" s="224"/>
      <c r="F32" s="224"/>
      <c r="G32" s="226"/>
      <c r="H32" s="162" t="e">
        <f t="shared" ca="1" si="0"/>
        <v>#VALUE!</v>
      </c>
      <c r="I32" s="151" t="e">
        <f t="shared" ca="1" si="1"/>
        <v>#VALUE!</v>
      </c>
      <c r="J32" s="151" t="e">
        <f t="shared" ca="1" si="2"/>
        <v>#VALUE!</v>
      </c>
      <c r="K32" s="171" t="e">
        <f t="shared" ca="1" si="3"/>
        <v>#VALUE!</v>
      </c>
      <c r="L32" s="164" t="e">
        <f t="shared" ca="1" si="9"/>
        <v>#VALUE!</v>
      </c>
      <c r="M32" s="146" t="e">
        <f t="shared" ca="1" si="4"/>
        <v>#VALUE!</v>
      </c>
      <c r="N32" s="146" t="e">
        <f t="shared" ca="1" si="5"/>
        <v>#VALUE!</v>
      </c>
      <c r="O32" s="173" t="e">
        <f t="shared" ca="1" si="6"/>
        <v>#VALUE!</v>
      </c>
      <c r="P32" s="165" t="e">
        <f t="shared" ca="1" si="10"/>
        <v>#VALUE!</v>
      </c>
      <c r="Q32" s="234"/>
      <c r="R32" s="235"/>
      <c r="S32" s="236"/>
      <c r="T32" s="165" t="e">
        <f t="shared" ca="1" si="7"/>
        <v>#VALUE!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5"/>
      <c r="W37" s="187" t="e">
        <f ca="1">$U$37+$V$33</f>
        <v>#VALUE!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93" priority="21">
      <formula>$B2=FERIADO</formula>
    </cfRule>
    <cfRule type="expression" dxfId="492" priority="22">
      <formula>$B2=DISPENSADO</formula>
    </cfRule>
    <cfRule type="expression" dxfId="491" priority="23">
      <formula>$B2=FERIAS</formula>
    </cfRule>
    <cfRule type="expression" dxfId="490" priority="24">
      <formula>$B2=MEIO_COMPENSADO</formula>
    </cfRule>
    <cfRule type="expression" dxfId="489" priority="25">
      <formula>$B2=COMPENSADO</formula>
    </cfRule>
    <cfRule type="expression" dxfId="488" priority="26">
      <formula>$B2=EXPEDIENTE_CORRIDO</formula>
    </cfRule>
    <cfRule type="expression" dxfId="487" priority="27">
      <formula>$B2="FIM DE SEMANA"</formula>
    </cfRule>
    <cfRule type="expression" dxfId="486" priority="28">
      <formula>AND($B2="",ISBLANK($B3))</formula>
    </cfRule>
    <cfRule type="expression" dxfId="485" priority="29">
      <formula>AND($B2="",NOT(ISBLANK($B3)))</formula>
    </cfRule>
  </conditionalFormatting>
  <conditionalFormatting sqref="D2:G32 P2:X32">
    <cfRule type="cellIs" dxfId="484" priority="6" stopIfTrue="1" operator="lessThan">
      <formula>0</formula>
    </cfRule>
  </conditionalFormatting>
  <conditionalFormatting sqref="D2:G32">
    <cfRule type="expression" dxfId="483" priority="3" stopIfTrue="1">
      <formula>AND(NOT(ISBLANK(C2)),_xlfn.SINGLE($B:$B)=FERIAS)</formula>
    </cfRule>
    <cfRule type="notContainsBlanks" dxfId="482" priority="8">
      <formula>LEN(TRIM(D2))&gt;0</formula>
    </cfRule>
  </conditionalFormatting>
  <conditionalFormatting sqref="E2:F32">
    <cfRule type="expression" dxfId="481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480" priority="7" stopIfTrue="1">
      <formula>H2&lt;&gt;D2</formula>
    </cfRule>
  </conditionalFormatting>
  <conditionalFormatting sqref="L2:L32">
    <cfRule type="expression" dxfId="479" priority="15">
      <formula>OR(AND($L2=TIMEVALUE("8:00"),OR($B2="DIA ÚTIL",$B2=MEIO_COMPENSADO,$B2=COMPENSADO)),AND($L2&gt;=TIMEVALUE("6:00"),$L2&lt;=TIMEVALUE("8:00"),$B2=EXPEDIENTE_CORRIDO))</formula>
    </cfRule>
    <cfRule type="expression" dxfId="478" priority="16">
      <formula>OR($L2&gt;TIMEVALUE("8:00"),AND($L2&gt;TIMEVALUE("0:00"),OR($B2=FERIADO,$B2="FIM DE SEMANA",$B2=DISPENSADO)))</formula>
    </cfRule>
    <cfRule type="expression" dxfId="477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76" priority="30">
      <formula>AND(L2=0,$B2=FERIADO)</formula>
    </cfRule>
    <cfRule type="expression" dxfId="475" priority="31">
      <formula>AND(L2=0,$B2=DISPENSADO)</formula>
    </cfRule>
    <cfRule type="expression" dxfId="474" priority="32">
      <formula>AND(L2=0,$B2=FERIAS)</formula>
    </cfRule>
    <cfRule type="expression" dxfId="473" priority="33">
      <formula>AND(L2=0,$B2=MEIO_COMPENSADO)</formula>
    </cfRule>
    <cfRule type="expression" dxfId="472" priority="34">
      <formula>AND(L2=0,$B2=COMPENSADO)</formula>
    </cfRule>
    <cfRule type="expression" dxfId="471" priority="35">
      <formula>AND(L2=0,$B2=EXPEDIENTE_CORRIDO)</formula>
    </cfRule>
    <cfRule type="expression" dxfId="470" priority="36">
      <formula>AND(L2=0,$B2="FIM DE SEMANA")</formula>
    </cfRule>
    <cfRule type="expression" dxfId="469" priority="37">
      <formula>AND(L2=0,$B2="DIA ÚTIL")</formula>
    </cfRule>
    <cfRule type="expression" dxfId="468" priority="38">
      <formula>$B2=""</formula>
    </cfRule>
  </conditionalFormatting>
  <conditionalFormatting sqref="M2:O32">
    <cfRule type="cellIs" dxfId="467" priority="9" operator="lessThan">
      <formula>0</formula>
    </cfRule>
    <cfRule type="cellIs" dxfId="466" priority="10" operator="greaterThan">
      <formula>0</formula>
    </cfRule>
  </conditionalFormatting>
  <conditionalFormatting sqref="O2:O32">
    <cfRule type="expression" dxfId="465" priority="5" stopIfTrue="1">
      <formula>IF(OR(TIPO_DE_PONTO="Comercial",$A2="Sexta"),$O2&gt;=TIMEVALUE("0:31"),$O2&gt;=TIMEVALUE("1:01"))</formula>
    </cfRule>
  </conditionalFormatting>
  <conditionalFormatting sqref="P2:P33">
    <cfRule type="cellIs" dxfId="464" priority="11" operator="greaterThan">
      <formula>0</formula>
    </cfRule>
  </conditionalFormatting>
  <conditionalFormatting sqref="Q36 W37">
    <cfRule type="cellIs" dxfId="463" priority="19" operator="greaterThanOrEqual">
      <formula>0</formula>
    </cfRule>
    <cfRule type="cellIs" dxfId="462" priority="20" operator="lessThan">
      <formula>0</formula>
    </cfRule>
  </conditionalFormatting>
  <conditionalFormatting sqref="Q2:S33">
    <cfRule type="cellIs" dxfId="461" priority="12" operator="greaterThan">
      <formula>0</formula>
    </cfRule>
  </conditionalFormatting>
  <conditionalFormatting sqref="S40">
    <cfRule type="cellIs" dxfId="460" priority="1" operator="lessThan">
      <formula>0</formula>
    </cfRule>
    <cfRule type="cellIs" dxfId="459" priority="2" operator="greaterThan">
      <formula>0</formula>
    </cfRule>
  </conditionalFormatting>
  <conditionalFormatting sqref="T2:T33">
    <cfRule type="cellIs" dxfId="458" priority="13" operator="greaterThan">
      <formula>0</formula>
    </cfRule>
  </conditionalFormatting>
  <conditionalFormatting sqref="U2:X32 U33 W33:X33">
    <cfRule type="cellIs" dxfId="457" priority="14" operator="greaterThan">
      <formula>0</formula>
    </cfRule>
  </conditionalFormatting>
  <conditionalFormatting sqref="V33">
    <cfRule type="cellIs" dxfId="456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4A4CD-53BF-4DFB-9749-3FCD73B98E63}">
  <sheetPr codeName="Planilha5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"FIM DE SEMANA",
      "DIA ÚTIL")))</f>
        <v>FERIADO</v>
      </c>
      <c r="C2" s="71">
        <f ca="1">DATE(ANO,MONTH(1&amp;RIGHT(CELL("filename",$C$2),3)),1)</f>
        <v>44196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>Confraternização Universal - Feriado Nacional</v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44197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Sexta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44198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Sábado</v>
      </c>
      <c r="B5" s="34" t="str">
        <f ca="1">IF($C5="",
  "",
  IFERROR(VLOOKUP($C5,Calendario[],2,FALSE),
    IF(WEEKDAY($C5,2)&gt;5,
      "FIM DE SEMANA",
      "DIA ÚTIL")))</f>
        <v>FIM DE SEMANA</v>
      </c>
      <c r="C5" s="35">
        <f t="shared" ca="1" si="11"/>
        <v>44199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Domingo</v>
      </c>
      <c r="B6" s="34" t="str">
        <f ca="1">IF($C6="",
  "",
  IFERROR(VLOOKUP($C6,Calendario[],2,FALSE),
    IF(WEEKDAY($C6,2)&gt;5,
      "FIM DE SEMANA",
      "DIA ÚTIL")))</f>
        <v>FIM DE SEMANA</v>
      </c>
      <c r="C6" s="35">
        <f t="shared" ca="1" si="11"/>
        <v>44200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Segunda</v>
      </c>
      <c r="B7" s="34" t="str">
        <f ca="1">IF($C7="",
  "",
  IFERROR(VLOOKUP($C7,Calendario[],2,FALSE),
    IF(WEEKDAY($C7,2)&gt;5,
      "FIM DE SEMANA",
      "DIA ÚTIL")))</f>
        <v>FERIADO</v>
      </c>
      <c r="C7" s="35">
        <f t="shared" ca="1" si="11"/>
        <v>44201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>Dia de Reis - Feriado Municipal</v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Terça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44202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Quarta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44203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Quinta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44204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Sexta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44205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Sábado</v>
      </c>
      <c r="B12" s="34" t="str">
        <f ca="1">IF($C12="",
  "",
  IFERROR(VLOOKUP($C12,Calendario[],2,FALSE),
    IF(WEEKDAY($C12,2)&gt;5,
      "FIM DE SEMANA",
      "DIA ÚTIL")))</f>
        <v>FIM DE SEMANA</v>
      </c>
      <c r="C12" s="35">
        <f t="shared" ca="1" si="11"/>
        <v>44206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Domingo</v>
      </c>
      <c r="B13" s="34" t="str">
        <f ca="1">IF($C13="",
  "",
  IFERROR(VLOOKUP($C13,Calendario[],2,FALSE),
    IF(WEEKDAY($C13,2)&gt;5,
      "FIM DE SEMANA",
      "DIA ÚTIL")))</f>
        <v>FIM DE SEMANA</v>
      </c>
      <c r="C13" s="35">
        <f t="shared" ca="1" si="11"/>
        <v>44207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Segunda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44208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Terça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44209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Quarta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44210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Quinta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44211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Sexta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44212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Sábado</v>
      </c>
      <c r="B19" s="34" t="str">
        <f ca="1">IF($C19="",
  "",
  IFERROR(VLOOKUP($C19,Calendario[],2,FALSE),
    IF(WEEKDAY($C19,2)&gt;5,
      "FIM DE SEMANA",
      "DIA ÚTIL")))</f>
        <v>FIM DE SEMANA</v>
      </c>
      <c r="C19" s="35">
        <f t="shared" ca="1" si="11"/>
        <v>44213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Domingo</v>
      </c>
      <c r="B20" s="34" t="str">
        <f ca="1">IF($C20="",
  "",
  IFERROR(VLOOKUP($C20,Calendario[],2,FALSE),
    IF(WEEKDAY($C20,2)&gt;5,
      "FIM DE SEMANA",
      "DIA ÚTIL")))</f>
        <v>FIM DE SEMANA</v>
      </c>
      <c r="C20" s="35">
        <f t="shared" ca="1" si="11"/>
        <v>44214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Segunda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44215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Terça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44216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Quarta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44217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Quinta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44218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Sexta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44219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Sábado</v>
      </c>
      <c r="B26" s="34" t="str">
        <f ca="1">IF($C26="",
  "",
  IFERROR(VLOOKUP($C26,Calendario[],2,FALSE),
    IF(WEEKDAY($C26,2)&gt;5,
      "FIM DE SEMANA",
      "DIA ÚTIL")))</f>
        <v>FIM DE SEMANA</v>
      </c>
      <c r="C26" s="35">
        <f t="shared" ca="1" si="11"/>
        <v>44220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Domingo</v>
      </c>
      <c r="B27" s="34" t="str">
        <f ca="1">IF($C27="",
  "",
  IFERROR(VLOOKUP($C27,Calendario[],2,FALSE),
    IF(WEEKDAY($C27,2)&gt;5,
      "FIM DE SEMANA",
      "DIA ÚTIL")))</f>
        <v>FIM DE SEMANA</v>
      </c>
      <c r="C27" s="35">
        <f t="shared" ca="1" si="11"/>
        <v>44221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Segunda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44222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Terça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44223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Quarta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44224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Quinta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44225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Sexta</v>
      </c>
      <c r="B32" s="149" t="str">
        <f ca="1">IF($C32="",
  "",
  IFERROR(VLOOKUP($C32,Calendario[],2,FALSE),
    IF(WEEKDAY($C32,2)&gt;5,
      "FIM DE SEMANA",
      "DIA ÚTIL")))</f>
        <v>DIA ÚTIL</v>
      </c>
      <c r="C32" s="35">
        <f t="shared" ca="1" si="11"/>
        <v>44226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55" priority="21">
      <formula>$B2=FERIADO</formula>
    </cfRule>
    <cfRule type="expression" dxfId="454" priority="22">
      <formula>$B2=DISPENSADO</formula>
    </cfRule>
    <cfRule type="expression" dxfId="453" priority="23">
      <formula>$B2=FERIAS</formula>
    </cfRule>
    <cfRule type="expression" dxfId="452" priority="24">
      <formula>$B2=MEIO_COMPENSADO</formula>
    </cfRule>
    <cfRule type="expression" dxfId="451" priority="25">
      <formula>$B2=COMPENSADO</formula>
    </cfRule>
    <cfRule type="expression" dxfId="450" priority="26">
      <formula>$B2=EXPEDIENTE_CORRIDO</formula>
    </cfRule>
    <cfRule type="expression" dxfId="449" priority="27">
      <formula>$B2="FIM DE SEMANA"</formula>
    </cfRule>
    <cfRule type="expression" dxfId="448" priority="28">
      <formula>AND($B2="",ISBLANK($B3))</formula>
    </cfRule>
    <cfRule type="expression" dxfId="447" priority="29">
      <formula>AND($B2="",NOT(ISBLANK($B3)))</formula>
    </cfRule>
  </conditionalFormatting>
  <conditionalFormatting sqref="D2:G32 P2:X32">
    <cfRule type="cellIs" dxfId="446" priority="6" stopIfTrue="1" operator="lessThan">
      <formula>0</formula>
    </cfRule>
  </conditionalFormatting>
  <conditionalFormatting sqref="D2:G32">
    <cfRule type="expression" dxfId="445" priority="3" stopIfTrue="1">
      <formula>AND(NOT(ISBLANK(C2)),_xlfn.SINGLE($B:$B)=FERIAS)</formula>
    </cfRule>
    <cfRule type="notContainsBlanks" dxfId="444" priority="8">
      <formula>LEN(TRIM(D2))&gt;0</formula>
    </cfRule>
  </conditionalFormatting>
  <conditionalFormatting sqref="E2:F32">
    <cfRule type="expression" dxfId="443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442" priority="7" stopIfTrue="1">
      <formula>H2&lt;&gt;D2</formula>
    </cfRule>
  </conditionalFormatting>
  <conditionalFormatting sqref="L2:L32">
    <cfRule type="expression" dxfId="441" priority="15">
      <formula>OR(AND($L2=TIMEVALUE("8:00"),OR($B2="DIA ÚTIL",$B2=MEIO_COMPENSADO,$B2=COMPENSADO)),AND($L2&gt;=TIMEVALUE("6:00"),$L2&lt;=TIMEVALUE("8:00"),$B2=EXPEDIENTE_CORRIDO))</formula>
    </cfRule>
    <cfRule type="expression" dxfId="440" priority="16">
      <formula>OR($L2&gt;TIMEVALUE("8:00"),AND($L2&gt;TIMEVALUE("0:00"),OR($B2=FERIADO,$B2="FIM DE SEMANA",$B2=DISPENSADO)))</formula>
    </cfRule>
    <cfRule type="expression" dxfId="439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38" priority="30">
      <formula>AND(L2=0,$B2=FERIADO)</formula>
    </cfRule>
    <cfRule type="expression" dxfId="437" priority="31">
      <formula>AND(L2=0,$B2=DISPENSADO)</formula>
    </cfRule>
    <cfRule type="expression" dxfId="436" priority="32">
      <formula>AND(L2=0,$B2=FERIAS)</formula>
    </cfRule>
    <cfRule type="expression" dxfId="435" priority="33">
      <formula>AND(L2=0,$B2=MEIO_COMPENSADO)</formula>
    </cfRule>
    <cfRule type="expression" dxfId="434" priority="34">
      <formula>AND(L2=0,$B2=COMPENSADO)</formula>
    </cfRule>
    <cfRule type="expression" dxfId="433" priority="35">
      <formula>AND(L2=0,$B2=EXPEDIENTE_CORRIDO)</formula>
    </cfRule>
    <cfRule type="expression" dxfId="432" priority="36">
      <formula>AND(L2=0,$B2="FIM DE SEMANA")</formula>
    </cfRule>
    <cfRule type="expression" dxfId="431" priority="37">
      <formula>AND(L2=0,$B2="DIA ÚTIL")</formula>
    </cfRule>
    <cfRule type="expression" dxfId="430" priority="38">
      <formula>$B2=""</formula>
    </cfRule>
  </conditionalFormatting>
  <conditionalFormatting sqref="M2:O32">
    <cfRule type="cellIs" dxfId="429" priority="9" operator="lessThan">
      <formula>0</formula>
    </cfRule>
    <cfRule type="cellIs" dxfId="428" priority="10" operator="greaterThan">
      <formula>0</formula>
    </cfRule>
  </conditionalFormatting>
  <conditionalFormatting sqref="O2:O32">
    <cfRule type="expression" dxfId="427" priority="5" stopIfTrue="1">
      <formula>IF(OR(TIPO_DE_PONTO="Comercial",$A2="Sexta"),$O2&gt;=TIMEVALUE("0:31"),$O2&gt;=TIMEVALUE("1:01"))</formula>
    </cfRule>
  </conditionalFormatting>
  <conditionalFormatting sqref="P2:P33">
    <cfRule type="cellIs" dxfId="426" priority="11" operator="greaterThan">
      <formula>0</formula>
    </cfRule>
  </conditionalFormatting>
  <conditionalFormatting sqref="Q36 W37">
    <cfRule type="cellIs" dxfId="425" priority="19" operator="greaterThanOrEqual">
      <formula>0</formula>
    </cfRule>
    <cfRule type="cellIs" dxfId="424" priority="20" operator="lessThan">
      <formula>0</formula>
    </cfRule>
  </conditionalFormatting>
  <conditionalFormatting sqref="Q2:S33">
    <cfRule type="cellIs" dxfId="423" priority="12" operator="greaterThan">
      <formula>0</formula>
    </cfRule>
  </conditionalFormatting>
  <conditionalFormatting sqref="S40">
    <cfRule type="cellIs" dxfId="422" priority="1" operator="lessThan">
      <formula>0</formula>
    </cfRule>
    <cfRule type="cellIs" dxfId="421" priority="2" operator="greaterThan">
      <formula>0</formula>
    </cfRule>
  </conditionalFormatting>
  <conditionalFormatting sqref="T2:T33">
    <cfRule type="cellIs" dxfId="420" priority="13" operator="greaterThan">
      <formula>0</formula>
    </cfRule>
  </conditionalFormatting>
  <conditionalFormatting sqref="U2:X32 U33 W33:X33">
    <cfRule type="cellIs" dxfId="419" priority="14" operator="greaterThan">
      <formula>0</formula>
    </cfRule>
  </conditionalFormatting>
  <conditionalFormatting sqref="V33">
    <cfRule type="cellIs" dxfId="418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354BD-0D4E-4130-98BC-E7E79F501267}">
  <sheetPr codeName="Planilha6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"FIM DE SEMANA",
      "DIA ÚTIL")))</f>
        <v>FIM DE SEMANA</v>
      </c>
      <c r="C2" s="71">
        <f ca="1">DATE(ANO,MONTH(1&amp;RIGHT(CELL("filename",$C$2),3)),1)</f>
        <v>44227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"FIM DE SEMANA",
      "DIA ÚTIL")))</f>
        <v>FIM DE SEMANA</v>
      </c>
      <c r="C3" s="35">
        <f ca="1">IF($C2="",
  "",
  IF(MONTH($C2+1)=MONTH($C2),
    $C2+1,
    ""))</f>
        <v>44228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Segunda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44229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Terça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44230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Quarta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44231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Quinta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44232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Sexta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44233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Sábado</v>
      </c>
      <c r="B9" s="34" t="str">
        <f ca="1">IF($C9="",
  "",
  IFERROR(VLOOKUP($C9,Calendario[],2,FALSE),
    IF(WEEKDAY($C9,2)&gt;5,
      "FIM DE SEMANA",
      "DIA ÚTIL")))</f>
        <v>FIM DE SEMANA</v>
      </c>
      <c r="C9" s="35">
        <f t="shared" ca="1" si="11"/>
        <v>44234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Domingo</v>
      </c>
      <c r="B10" s="34" t="str">
        <f ca="1">IF($C10="",
  "",
  IFERROR(VLOOKUP($C10,Calendario[],2,FALSE),
    IF(WEEKDAY($C10,2)&gt;5,
      "FIM DE SEMANA",
      "DIA ÚTIL")))</f>
        <v>FIM DE SEMANA</v>
      </c>
      <c r="C10" s="35">
        <f t="shared" ca="1" si="11"/>
        <v>44235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Segunda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44236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Terça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44237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Quarta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44238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Quinta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44239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Sexta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44240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Sábado</v>
      </c>
      <c r="B16" s="34" t="str">
        <f ca="1">IF($C16="",
  "",
  IFERROR(VLOOKUP($C16,Calendario[],2,FALSE),
    IF(WEEKDAY($C16,2)&gt;5,
      "FIM DE SEMANA",
      "DIA ÚTIL")))</f>
        <v>FIM DE SEMANA</v>
      </c>
      <c r="C16" s="35">
        <f t="shared" ca="1" si="11"/>
        <v>44241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Domingo</v>
      </c>
      <c r="B17" s="34" t="str">
        <f ca="1">IF($C17="",
  "",
  IFERROR(VLOOKUP($C17,Calendario[],2,FALSE),
    IF(WEEKDAY($C17,2)&gt;5,
      "FIM DE SEMANA",
      "DIA ÚTIL")))</f>
        <v>FIM DE SEMANA</v>
      </c>
      <c r="C17" s="35">
        <f t="shared" ca="1" si="11"/>
        <v>44242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Segunda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44243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Terça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44244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Quarta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44245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Quinta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44246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Sexta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44247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Sábado</v>
      </c>
      <c r="B23" s="34" t="str">
        <f ca="1">IF($C23="",
  "",
  IFERROR(VLOOKUP($C23,Calendario[],2,FALSE),
    IF(WEEKDAY($C23,2)&gt;5,
      "FIM DE SEMANA",
      "DIA ÚTIL")))</f>
        <v>FIM DE SEMANA</v>
      </c>
      <c r="C23" s="35">
        <f t="shared" ca="1" si="11"/>
        <v>44248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Domingo</v>
      </c>
      <c r="B24" s="34" t="str">
        <f ca="1">IF($C24="",
  "",
  IFERROR(VLOOKUP($C24,Calendario[],2,FALSE),
    IF(WEEKDAY($C24,2)&gt;5,
      "FIM DE SEMANA",
      "DIA ÚTIL")))</f>
        <v>FIM DE SEMANA</v>
      </c>
      <c r="C24" s="35">
        <f t="shared" ca="1" si="11"/>
        <v>44249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Segunda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44250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Terça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44251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Quarta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44252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Quinta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44253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6.5" thickBot="1" x14ac:dyDescent="0.3">
      <c r="A29" s="33" t="str">
        <f t="shared" ca="1" si="8"/>
        <v>Sexta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44254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hidden="1" x14ac:dyDescent="0.25">
      <c r="A30" s="33" t="str">
        <f t="shared" ca="1" si="8"/>
        <v/>
      </c>
      <c r="B30" s="34" t="str">
        <f ca="1">IF($C30="",
  "",
  IFERROR(VLOOKUP($C30,Calendario[],2,FALSE),
    IF(WEEKDAY($C30,2)&gt;5,
      "FIM DE SEMANA",
      "DIA ÚTIL")))</f>
        <v/>
      </c>
      <c r="C30" s="35" t="str">
        <f t="shared" ca="1" si="11"/>
        <v/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hidden="1" x14ac:dyDescent="0.25">
      <c r="A31" s="33" t="str">
        <f t="shared" ca="1" si="8"/>
        <v/>
      </c>
      <c r="B31" s="34" t="str">
        <f ca="1">IF($C31="",
  "",
  IFERROR(VLOOKUP($C31,Calendario[],2,FALSE),
    IF(WEEKDAY($C31,2)&gt;5,
      "FIM DE SEMANA",
      "DIA ÚTIL")))</f>
        <v/>
      </c>
      <c r="C31" s="35" t="str">
        <f t="shared" ca="1" si="11"/>
        <v/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hidden="1" thickBot="1" x14ac:dyDescent="0.3">
      <c r="A32" s="81" t="str">
        <f t="shared" ca="1" si="8"/>
        <v/>
      </c>
      <c r="B32" s="149" t="str">
        <f ca="1">IF($C32="",
  "",
  IFERROR(VLOOKUP($C32,Calendario[],2,FALSE),
    IF(WEEKDAY($C32,2)&gt;5,
      "FIM DE SEMANA",
      "DIA ÚTIL")))</f>
        <v/>
      </c>
      <c r="C32" s="35" t="str">
        <f t="shared" ca="1" si="11"/>
        <v/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417" priority="21">
      <formula>$B2=FERIADO</formula>
    </cfRule>
    <cfRule type="expression" dxfId="416" priority="22">
      <formula>$B2=DISPENSADO</formula>
    </cfRule>
    <cfRule type="expression" dxfId="415" priority="23">
      <formula>$B2=FERIAS</formula>
    </cfRule>
    <cfRule type="expression" dxfId="414" priority="24">
      <formula>$B2=MEIO_COMPENSADO</formula>
    </cfRule>
    <cfRule type="expression" dxfId="413" priority="25">
      <formula>$B2=COMPENSADO</formula>
    </cfRule>
    <cfRule type="expression" dxfId="412" priority="26">
      <formula>$B2=EXPEDIENTE_CORRIDO</formula>
    </cfRule>
    <cfRule type="expression" dxfId="411" priority="27">
      <formula>$B2="FIM DE SEMANA"</formula>
    </cfRule>
    <cfRule type="expression" dxfId="410" priority="28">
      <formula>AND($B2="",ISBLANK($B3))</formula>
    </cfRule>
    <cfRule type="expression" dxfId="409" priority="29">
      <formula>AND($B2="",NOT(ISBLANK($B3)))</formula>
    </cfRule>
  </conditionalFormatting>
  <conditionalFormatting sqref="D2:G32 P2:X32">
    <cfRule type="cellIs" dxfId="408" priority="6" stopIfTrue="1" operator="lessThan">
      <formula>0</formula>
    </cfRule>
  </conditionalFormatting>
  <conditionalFormatting sqref="D2:G32">
    <cfRule type="expression" dxfId="407" priority="3" stopIfTrue="1">
      <formula>AND(NOT(ISBLANK(C2)),_xlfn.SINGLE($B:$B)=FERIAS)</formula>
    </cfRule>
    <cfRule type="notContainsBlanks" dxfId="406" priority="8">
      <formula>LEN(TRIM(D2))&gt;0</formula>
    </cfRule>
  </conditionalFormatting>
  <conditionalFormatting sqref="E2:F32">
    <cfRule type="expression" dxfId="405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404" priority="7" stopIfTrue="1">
      <formula>H2&lt;&gt;D2</formula>
    </cfRule>
  </conditionalFormatting>
  <conditionalFormatting sqref="L2:L32">
    <cfRule type="expression" dxfId="403" priority="15">
      <formula>OR(AND($L2=TIMEVALUE("8:00"),OR($B2="DIA ÚTIL",$B2=MEIO_COMPENSADO,$B2=COMPENSADO)),AND($L2&gt;=TIMEVALUE("6:00"),$L2&lt;=TIMEVALUE("8:00"),$B2=EXPEDIENTE_CORRIDO))</formula>
    </cfRule>
    <cfRule type="expression" dxfId="402" priority="16">
      <formula>OR($L2&gt;TIMEVALUE("8:00"),AND($L2&gt;TIMEVALUE("0:00"),OR($B2=FERIADO,$B2="FIM DE SEMANA",$B2=DISPENSADO)))</formula>
    </cfRule>
    <cfRule type="expression" dxfId="401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00" priority="30">
      <formula>AND(L2=0,$B2=FERIADO)</formula>
    </cfRule>
    <cfRule type="expression" dxfId="399" priority="31">
      <formula>AND(L2=0,$B2=DISPENSADO)</formula>
    </cfRule>
    <cfRule type="expression" dxfId="398" priority="32">
      <formula>AND(L2=0,$B2=FERIAS)</formula>
    </cfRule>
    <cfRule type="expression" dxfId="397" priority="33">
      <formula>AND(L2=0,$B2=MEIO_COMPENSADO)</formula>
    </cfRule>
    <cfRule type="expression" dxfId="396" priority="34">
      <formula>AND(L2=0,$B2=COMPENSADO)</formula>
    </cfRule>
    <cfRule type="expression" dxfId="395" priority="35">
      <formula>AND(L2=0,$B2=EXPEDIENTE_CORRIDO)</formula>
    </cfRule>
    <cfRule type="expression" dxfId="394" priority="36">
      <formula>AND(L2=0,$B2="FIM DE SEMANA")</formula>
    </cfRule>
    <cfRule type="expression" dxfId="393" priority="37">
      <formula>AND(L2=0,$B2="DIA ÚTIL")</formula>
    </cfRule>
    <cfRule type="expression" dxfId="392" priority="38">
      <formula>$B2=""</formula>
    </cfRule>
  </conditionalFormatting>
  <conditionalFormatting sqref="M2:O32">
    <cfRule type="cellIs" dxfId="391" priority="9" operator="lessThan">
      <formula>0</formula>
    </cfRule>
    <cfRule type="cellIs" dxfId="390" priority="10" operator="greaterThan">
      <formula>0</formula>
    </cfRule>
  </conditionalFormatting>
  <conditionalFormatting sqref="O2:O32">
    <cfRule type="expression" dxfId="389" priority="5" stopIfTrue="1">
      <formula>IF(OR(TIPO_DE_PONTO="Comercial",$A2="Sexta"),$O2&gt;=TIMEVALUE("0:31"),$O2&gt;=TIMEVALUE("1:01"))</formula>
    </cfRule>
  </conditionalFormatting>
  <conditionalFormatting sqref="P2:P33">
    <cfRule type="cellIs" dxfId="388" priority="11" operator="greaterThan">
      <formula>0</formula>
    </cfRule>
  </conditionalFormatting>
  <conditionalFormatting sqref="Q36 W37">
    <cfRule type="cellIs" dxfId="387" priority="19" operator="greaterThanOrEqual">
      <formula>0</formula>
    </cfRule>
    <cfRule type="cellIs" dxfId="386" priority="20" operator="lessThan">
      <formula>0</formula>
    </cfRule>
  </conditionalFormatting>
  <conditionalFormatting sqref="Q2:S33">
    <cfRule type="cellIs" dxfId="385" priority="12" operator="greaterThan">
      <formula>0</formula>
    </cfRule>
  </conditionalFormatting>
  <conditionalFormatting sqref="S40">
    <cfRule type="cellIs" dxfId="384" priority="1" operator="lessThan">
      <formula>0</formula>
    </cfRule>
    <cfRule type="cellIs" dxfId="383" priority="2" operator="greaterThan">
      <formula>0</formula>
    </cfRule>
  </conditionalFormatting>
  <conditionalFormatting sqref="T2:T33">
    <cfRule type="cellIs" dxfId="382" priority="13" operator="greaterThan">
      <formula>0</formula>
    </cfRule>
  </conditionalFormatting>
  <conditionalFormatting sqref="U2:X32 U33 W33:X33">
    <cfRule type="cellIs" dxfId="381" priority="14" operator="greaterThan">
      <formula>0</formula>
    </cfRule>
  </conditionalFormatting>
  <conditionalFormatting sqref="V33">
    <cfRule type="cellIs" dxfId="380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7E92F-AA03-471A-8BA6-65F6C7769B1E}">
  <sheetPr codeName="Planilha7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"FIM DE SEMANA",
      "DIA ÚTIL")))</f>
        <v>FIM DE SEMANA</v>
      </c>
      <c r="C2" s="71">
        <f ca="1">DATE(ANO,MONTH(1&amp;RIGHT(CELL("filename",$C$2),3)),1)</f>
        <v>44255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"FIM DE SEMANA",
      "DIA ÚTIL")))</f>
        <v>FIM DE SEMANA</v>
      </c>
      <c r="C3" s="35">
        <f ca="1">IF($C2="",
  "",
  IF(MONTH($C2+1)=MONTH($C2),
    $C2+1,
    ""))</f>
        <v>44256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Segunda</v>
      </c>
      <c r="B4" s="34" t="str">
        <f ca="1">IF($C4="",
  "",
  IFERROR(VLOOKUP($C4,Calendario[],2,FALSE),
    IF(WEEKDAY($C4,2)&gt;5,
      "FIM DE SEMANA",
      "DIA ÚTIL")))</f>
        <v>DISPENSADO</v>
      </c>
      <c r="C4" s="35">
        <f t="shared" ref="C4:C32" ca="1" si="11">IF($C3="",
  "",
  IF(MONTH($C3+1)=MONTH($C3),
    $C3+1,
    ""))</f>
        <v>44257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>Carnaval - Dispensado</v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Terça</v>
      </c>
      <c r="B5" s="34" t="str">
        <f ca="1">IF($C5="",
  "",
  IFERROR(VLOOKUP($C5,Calendario[],2,FALSE),
    IF(WEEKDAY($C5,2)&gt;5,
      "FIM DE SEMANA",
      "DIA ÚTIL")))</f>
        <v>FERIADO</v>
      </c>
      <c r="C5" s="35">
        <f t="shared" ca="1" si="11"/>
        <v>44258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>Carnaval - Feriado Estadual</v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Quarta</v>
      </c>
      <c r="B6" s="34" t="str">
        <f ca="1">IF($C6="",
  "",
  IFERROR(VLOOKUP($C6,Calendario[],2,FALSE),
    IF(WEEKDAY($C6,2)&gt;5,
      "FIM DE SEMANA",
      "DIA ÚTIL")))</f>
        <v>1/2 COMPENSADO</v>
      </c>
      <c r="C6" s="35">
        <f t="shared" ca="1" si="11"/>
        <v>44259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>Cinzas 1° Expediente - Dispensado / 2° Expediente - Compensado</v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Quinta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44260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Sexta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44261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Sábado</v>
      </c>
      <c r="B9" s="34" t="str">
        <f ca="1">IF($C9="",
  "",
  IFERROR(VLOOKUP($C9,Calendario[],2,FALSE),
    IF(WEEKDAY($C9,2)&gt;5,
      "FIM DE SEMANA",
      "DIA ÚTIL")))</f>
        <v>FIM DE SEMANA</v>
      </c>
      <c r="C9" s="35">
        <f t="shared" ca="1" si="11"/>
        <v>44262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Domingo</v>
      </c>
      <c r="B10" s="34" t="str">
        <f ca="1">IF($C10="",
  "",
  IFERROR(VLOOKUP($C10,Calendario[],2,FALSE),
    IF(WEEKDAY($C10,2)&gt;5,
      "FIM DE SEMANA",
      "DIA ÚTIL")))</f>
        <v>FIM DE SEMANA</v>
      </c>
      <c r="C10" s="35">
        <f t="shared" ca="1" si="11"/>
        <v>44263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Segunda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44264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Terça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44265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Quarta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44266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Quinta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44267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Sexta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44268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Sábado</v>
      </c>
      <c r="B16" s="34" t="str">
        <f ca="1">IF($C16="",
  "",
  IFERROR(VLOOKUP($C16,Calendario[],2,FALSE),
    IF(WEEKDAY($C16,2)&gt;5,
      "FIM DE SEMANA",
      "DIA ÚTIL")))</f>
        <v>FIM DE SEMANA</v>
      </c>
      <c r="C16" s="35">
        <f t="shared" ca="1" si="11"/>
        <v>44269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Domingo</v>
      </c>
      <c r="B17" s="34" t="str">
        <f ca="1">IF($C17="",
  "",
  IFERROR(VLOOKUP($C17,Calendario[],2,FALSE),
    IF(WEEKDAY($C17,2)&gt;5,
      "FIM DE SEMANA",
      "DIA ÚTIL")))</f>
        <v>FIM DE SEMANA</v>
      </c>
      <c r="C17" s="35">
        <f t="shared" ca="1" si="11"/>
        <v>44270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Segunda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44271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Terça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44272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Quarta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44273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Quinta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44274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Sexta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44275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Sábado</v>
      </c>
      <c r="B23" s="34" t="str">
        <f ca="1">IF($C23="",
  "",
  IFERROR(VLOOKUP($C23,Calendario[],2,FALSE),
    IF(WEEKDAY($C23,2)&gt;5,
      "FIM DE SEMANA",
      "DIA ÚTIL")))</f>
        <v>FIM DE SEMANA</v>
      </c>
      <c r="C23" s="35">
        <f t="shared" ca="1" si="11"/>
        <v>44276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Domingo</v>
      </c>
      <c r="B24" s="34" t="str">
        <f ca="1">IF($C24="",
  "",
  IFERROR(VLOOKUP($C24,Calendario[],2,FALSE),
    IF(WEEKDAY($C24,2)&gt;5,
      "FIM DE SEMANA",
      "DIA ÚTIL")))</f>
        <v>FIM DE SEMANA</v>
      </c>
      <c r="C24" s="35">
        <f t="shared" ca="1" si="11"/>
        <v>44277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Segunda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44278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Terça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44279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Quarta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44280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Quinta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44281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Sexta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44282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Sábado</v>
      </c>
      <c r="B30" s="34" t="str">
        <f ca="1">IF($C30="",
  "",
  IFERROR(VLOOKUP($C30,Calendario[],2,FALSE),
    IF(WEEKDAY($C30,2)&gt;5,
      "FIM DE SEMANA",
      "DIA ÚTIL")))</f>
        <v>FIM DE SEMANA</v>
      </c>
      <c r="C30" s="35">
        <f t="shared" ca="1" si="11"/>
        <v>44283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Domingo</v>
      </c>
      <c r="B31" s="34" t="str">
        <f ca="1">IF($C31="",
  "",
  IFERROR(VLOOKUP($C31,Calendario[],2,FALSE),
    IF(WEEKDAY($C31,2)&gt;5,
      "FIM DE SEMANA",
      "DIA ÚTIL")))</f>
        <v>FIM DE SEMANA</v>
      </c>
      <c r="C31" s="35">
        <f t="shared" ca="1" si="11"/>
        <v>44284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Segunda</v>
      </c>
      <c r="B32" s="149" t="str">
        <f ca="1">IF($C32="",
  "",
  IFERROR(VLOOKUP($C32,Calendario[],2,FALSE),
    IF(WEEKDAY($C32,2)&gt;5,
      "FIM DE SEMANA",
      "DIA ÚTIL")))</f>
        <v>DIA ÚTIL</v>
      </c>
      <c r="C32" s="35">
        <f t="shared" ca="1" si="11"/>
        <v>44285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79" priority="21">
      <formula>$B2=FERIADO</formula>
    </cfRule>
    <cfRule type="expression" dxfId="378" priority="22">
      <formula>$B2=DISPENSADO</formula>
    </cfRule>
    <cfRule type="expression" dxfId="377" priority="23">
      <formula>$B2=FERIAS</formula>
    </cfRule>
    <cfRule type="expression" dxfId="376" priority="24">
      <formula>$B2=MEIO_COMPENSADO</formula>
    </cfRule>
    <cfRule type="expression" dxfId="375" priority="25">
      <formula>$B2=COMPENSADO</formula>
    </cfRule>
    <cfRule type="expression" dxfId="374" priority="26">
      <formula>$B2=EXPEDIENTE_CORRIDO</formula>
    </cfRule>
    <cfRule type="expression" dxfId="373" priority="27">
      <formula>$B2="FIM DE SEMANA"</formula>
    </cfRule>
    <cfRule type="expression" dxfId="372" priority="28">
      <formula>AND($B2="",ISBLANK($B3))</formula>
    </cfRule>
    <cfRule type="expression" dxfId="371" priority="29">
      <formula>AND($B2="",NOT(ISBLANK($B3)))</formula>
    </cfRule>
  </conditionalFormatting>
  <conditionalFormatting sqref="D2:G32 P2:X32">
    <cfRule type="cellIs" dxfId="370" priority="6" stopIfTrue="1" operator="lessThan">
      <formula>0</formula>
    </cfRule>
  </conditionalFormatting>
  <conditionalFormatting sqref="D2:G32">
    <cfRule type="expression" dxfId="369" priority="3" stopIfTrue="1">
      <formula>AND(NOT(ISBLANK(C2)),_xlfn.SINGLE($B:$B)=FERIAS)</formula>
    </cfRule>
    <cfRule type="notContainsBlanks" dxfId="368" priority="8">
      <formula>LEN(TRIM(D2))&gt;0</formula>
    </cfRule>
  </conditionalFormatting>
  <conditionalFormatting sqref="E2:F32">
    <cfRule type="expression" dxfId="367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366" priority="7" stopIfTrue="1">
      <formula>H2&lt;&gt;D2</formula>
    </cfRule>
  </conditionalFormatting>
  <conditionalFormatting sqref="L2:L32">
    <cfRule type="expression" dxfId="365" priority="15">
      <formula>OR(AND($L2=TIMEVALUE("8:00"),OR($B2="DIA ÚTIL",$B2=MEIO_COMPENSADO,$B2=COMPENSADO)),AND($L2&gt;=TIMEVALUE("6:00"),$L2&lt;=TIMEVALUE("8:00"),$B2=EXPEDIENTE_CORRIDO))</formula>
    </cfRule>
    <cfRule type="expression" dxfId="364" priority="16">
      <formula>OR($L2&gt;TIMEVALUE("8:00"),AND($L2&gt;TIMEVALUE("0:00"),OR($B2=FERIADO,$B2="FIM DE SEMANA",$B2=DISPENSADO)))</formula>
    </cfRule>
    <cfRule type="expression" dxfId="363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362" priority="30">
      <formula>AND(L2=0,$B2=FERIADO)</formula>
    </cfRule>
    <cfRule type="expression" dxfId="361" priority="31">
      <formula>AND(L2=0,$B2=DISPENSADO)</formula>
    </cfRule>
    <cfRule type="expression" dxfId="360" priority="32">
      <formula>AND(L2=0,$B2=FERIAS)</formula>
    </cfRule>
    <cfRule type="expression" dxfId="359" priority="33">
      <formula>AND(L2=0,$B2=MEIO_COMPENSADO)</formula>
    </cfRule>
    <cfRule type="expression" dxfId="358" priority="34">
      <formula>AND(L2=0,$B2=COMPENSADO)</formula>
    </cfRule>
    <cfRule type="expression" dxfId="357" priority="35">
      <formula>AND(L2=0,$B2=EXPEDIENTE_CORRIDO)</formula>
    </cfRule>
    <cfRule type="expression" dxfId="356" priority="36">
      <formula>AND(L2=0,$B2="FIM DE SEMANA")</formula>
    </cfRule>
    <cfRule type="expression" dxfId="355" priority="37">
      <formula>AND(L2=0,$B2="DIA ÚTIL")</formula>
    </cfRule>
    <cfRule type="expression" dxfId="354" priority="38">
      <formula>$B2=""</formula>
    </cfRule>
  </conditionalFormatting>
  <conditionalFormatting sqref="M2:O32">
    <cfRule type="cellIs" dxfId="353" priority="9" operator="lessThan">
      <formula>0</formula>
    </cfRule>
    <cfRule type="cellIs" dxfId="352" priority="10" operator="greaterThan">
      <formula>0</formula>
    </cfRule>
  </conditionalFormatting>
  <conditionalFormatting sqref="O2:O32">
    <cfRule type="expression" dxfId="351" priority="5" stopIfTrue="1">
      <formula>IF(OR(TIPO_DE_PONTO="Comercial",$A2="Sexta"),$O2&gt;=TIMEVALUE("0:31"),$O2&gt;=TIMEVALUE("1:01"))</formula>
    </cfRule>
  </conditionalFormatting>
  <conditionalFormatting sqref="P2:P33">
    <cfRule type="cellIs" dxfId="350" priority="11" operator="greaterThan">
      <formula>0</formula>
    </cfRule>
  </conditionalFormatting>
  <conditionalFormatting sqref="Q36 W37">
    <cfRule type="cellIs" dxfId="349" priority="19" operator="greaterThanOrEqual">
      <formula>0</formula>
    </cfRule>
    <cfRule type="cellIs" dxfId="348" priority="20" operator="lessThan">
      <formula>0</formula>
    </cfRule>
  </conditionalFormatting>
  <conditionalFormatting sqref="Q2:S33">
    <cfRule type="cellIs" dxfId="347" priority="12" operator="greaterThan">
      <formula>0</formula>
    </cfRule>
  </conditionalFormatting>
  <conditionalFormatting sqref="S40">
    <cfRule type="cellIs" dxfId="346" priority="1" operator="lessThan">
      <formula>0</formula>
    </cfRule>
    <cfRule type="cellIs" dxfId="345" priority="2" operator="greaterThan">
      <formula>0</formula>
    </cfRule>
  </conditionalFormatting>
  <conditionalFormatting sqref="T2:T33">
    <cfRule type="cellIs" dxfId="344" priority="13" operator="greaterThan">
      <formula>0</formula>
    </cfRule>
  </conditionalFormatting>
  <conditionalFormatting sqref="U2:X32 U33 W33:X33">
    <cfRule type="cellIs" dxfId="343" priority="14" operator="greaterThan">
      <formula>0</formula>
    </cfRule>
  </conditionalFormatting>
  <conditionalFormatting sqref="V33">
    <cfRule type="cellIs" dxfId="342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3682-1F07-47CA-8A1F-C574C7B57435}">
  <sheetPr codeName="Planilha8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44286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44287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Quinta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44288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Sexta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44289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Sábado</v>
      </c>
      <c r="B6" s="34" t="str">
        <f ca="1">IF($C6="",
  "",
  IFERROR(VLOOKUP($C6,Calendario[],2,FALSE),
    IF(WEEKDAY($C6,2)&gt;5,
      "FIM DE SEMANA",
      "DIA ÚTIL")))</f>
        <v>FIM DE SEMANA</v>
      </c>
      <c r="C6" s="35">
        <f t="shared" ca="1" si="11"/>
        <v>44290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Domingo</v>
      </c>
      <c r="B7" s="34" t="str">
        <f ca="1">IF($C7="",
  "",
  IFERROR(VLOOKUP($C7,Calendario[],2,FALSE),
    IF(WEEKDAY($C7,2)&gt;5,
      "FIM DE SEMANA",
      "DIA ÚTIL")))</f>
        <v>FIM DE SEMANA</v>
      </c>
      <c r="C7" s="35">
        <f t="shared" ca="1" si="11"/>
        <v>44291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Segunda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44292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Terça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44293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Quarta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44294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Quinta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44295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Sexta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44296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Sábado</v>
      </c>
      <c r="B13" s="34" t="str">
        <f ca="1">IF($C13="",
  "",
  IFERROR(VLOOKUP($C13,Calendario[],2,FALSE),
    IF(WEEKDAY($C13,2)&gt;5,
      "FIM DE SEMANA",
      "DIA ÚTIL")))</f>
        <v>FIM DE SEMANA</v>
      </c>
      <c r="C13" s="35">
        <f t="shared" ca="1" si="11"/>
        <v>44297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Domingo</v>
      </c>
      <c r="B14" s="34" t="str">
        <f ca="1">IF($C14="",
  "",
  IFERROR(VLOOKUP($C14,Calendario[],2,FALSE),
    IF(WEEKDAY($C14,2)&gt;5,
      "FIM DE SEMANA",
      "DIA ÚTIL")))</f>
        <v>FIM DE SEMANA</v>
      </c>
      <c r="C14" s="35">
        <f t="shared" ca="1" si="11"/>
        <v>44298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Segunda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44299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Terça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44300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Quarta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44301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Quinta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44302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Sexta</v>
      </c>
      <c r="B19" s="34" t="str">
        <f ca="1">IF($C19="",
  "",
  IFERROR(VLOOKUP($C19,Calendario[],2,FALSE),
    IF(WEEKDAY($C19,2)&gt;5,
      "FIM DE SEMANA",
      "DIA ÚTIL")))</f>
        <v>FERIADO</v>
      </c>
      <c r="C19" s="35">
        <f t="shared" ca="1" si="11"/>
        <v>44303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>Sexta-feira da Paixão - Feriado Municipal</v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Sábado</v>
      </c>
      <c r="B20" s="34" t="str">
        <f ca="1">IF($C20="",
  "",
  IFERROR(VLOOKUP($C20,Calendario[],2,FALSE),
    IF(WEEKDAY($C20,2)&gt;5,
      "FIM DE SEMANA",
      "DIA ÚTIL")))</f>
        <v>FIM DE SEMANA</v>
      </c>
      <c r="C20" s="35">
        <f t="shared" ca="1" si="11"/>
        <v>44304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Domingo</v>
      </c>
      <c r="B21" s="34" t="str">
        <f ca="1">IF($C21="",
  "",
  IFERROR(VLOOKUP($C21,Calendario[],2,FALSE),
    IF(WEEKDAY($C21,2)&gt;5,
      "FIM DE SEMANA",
      "DIA ÚTIL")))</f>
        <v>FIM DE SEMANA</v>
      </c>
      <c r="C21" s="35">
        <f t="shared" ca="1" si="11"/>
        <v>44305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Segunda</v>
      </c>
      <c r="B22" s="34" t="str">
        <f ca="1">IF($C22="",
  "",
  IFERROR(VLOOKUP($C22,Calendario[],2,FALSE),
    IF(WEEKDAY($C22,2)&gt;5,
      "FIM DE SEMANA",
      "DIA ÚTIL")))</f>
        <v>FERIADO</v>
      </c>
      <c r="C22" s="35">
        <f t="shared" ca="1" si="11"/>
        <v>44306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>Dia de Tiradentes - Feriado Nacional</v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Terça</v>
      </c>
      <c r="B23" s="34" t="str">
        <f ca="1">IF($C23="",
  "",
  IFERROR(VLOOKUP($C23,Calendario[],2,FALSE),
    IF(WEEKDAY($C23,2)&gt;5,
      "FIM DE SEMANA",
      "DIA ÚTIL")))</f>
        <v>COMPENSADO</v>
      </c>
      <c r="C23" s="35">
        <f t="shared" ca="1" si="11"/>
        <v>44307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>Dia Compensado Facultativo (Dia Normal)</v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Quarta</v>
      </c>
      <c r="B24" s="34" t="str">
        <f ca="1">IF($C24="",
  "",
  IFERROR(VLOOKUP($C24,Calendario[],2,FALSE),
    IF(WEEKDAY($C24,2)&gt;5,
      "FIM DE SEMANA",
      "DIA ÚTIL")))</f>
        <v>FERIADO</v>
      </c>
      <c r="C24" s="35">
        <f t="shared" ca="1" si="11"/>
        <v>44308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>Dia de São Jorge - Feriado Estadual</v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Quinta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44309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Sexta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44310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Sábado</v>
      </c>
      <c r="B27" s="34" t="str">
        <f ca="1">IF($C27="",
  "",
  IFERROR(VLOOKUP($C27,Calendario[],2,FALSE),
    IF(WEEKDAY($C27,2)&gt;5,
      "FIM DE SEMANA",
      "DIA ÚTIL")))</f>
        <v>FIM DE SEMANA</v>
      </c>
      <c r="C27" s="35">
        <f t="shared" ca="1" si="11"/>
        <v>44311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Domingo</v>
      </c>
      <c r="B28" s="34" t="str">
        <f ca="1">IF($C28="",
  "",
  IFERROR(VLOOKUP($C28,Calendario[],2,FALSE),
    IF(WEEKDAY($C28,2)&gt;5,
      "FIM DE SEMANA",
      "DIA ÚTIL")))</f>
        <v>FIM DE SEMANA</v>
      </c>
      <c r="C28" s="35">
        <f t="shared" ca="1" si="11"/>
        <v>44312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Segunda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44313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Terça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44314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6.5" thickBot="1" x14ac:dyDescent="0.3">
      <c r="A31" s="33" t="str">
        <f t="shared" ca="1" si="8"/>
        <v>Quarta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44315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hidden="1" thickBot="1" x14ac:dyDescent="0.3">
      <c r="A32" s="81" t="str">
        <f t="shared" ca="1" si="8"/>
        <v/>
      </c>
      <c r="B32" s="149" t="str">
        <f ca="1">IF($C32="",
  "",
  IFERROR(VLOOKUP($C32,Calendario[],2,FALSE),
    IF(WEEKDAY($C32,2)&gt;5,
      "FIM DE SEMANA",
      "DIA ÚTIL")))</f>
        <v/>
      </c>
      <c r="C32" s="35" t="str">
        <f t="shared" ca="1" si="11"/>
        <v/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41" priority="21">
      <formula>$B2=FERIADO</formula>
    </cfRule>
    <cfRule type="expression" dxfId="340" priority="22">
      <formula>$B2=DISPENSADO</formula>
    </cfRule>
    <cfRule type="expression" dxfId="339" priority="23">
      <formula>$B2=FERIAS</formula>
    </cfRule>
    <cfRule type="expression" dxfId="338" priority="24">
      <formula>$B2=MEIO_COMPENSADO</formula>
    </cfRule>
    <cfRule type="expression" dxfId="337" priority="25">
      <formula>$B2=COMPENSADO</formula>
    </cfRule>
    <cfRule type="expression" dxfId="336" priority="26">
      <formula>$B2=EXPEDIENTE_CORRIDO</formula>
    </cfRule>
    <cfRule type="expression" dxfId="335" priority="27">
      <formula>$B2="FIM DE SEMANA"</formula>
    </cfRule>
    <cfRule type="expression" dxfId="334" priority="28">
      <formula>AND($B2="",ISBLANK($B3))</formula>
    </cfRule>
    <cfRule type="expression" dxfId="333" priority="29">
      <formula>AND($B2="",NOT(ISBLANK($B3)))</formula>
    </cfRule>
  </conditionalFormatting>
  <conditionalFormatting sqref="D2:G32 P2:X32">
    <cfRule type="cellIs" dxfId="332" priority="6" stopIfTrue="1" operator="lessThan">
      <formula>0</formula>
    </cfRule>
  </conditionalFormatting>
  <conditionalFormatting sqref="D2:G32">
    <cfRule type="expression" dxfId="331" priority="3" stopIfTrue="1">
      <formula>AND(NOT(ISBLANK(C2)),_xlfn.SINGLE($B:$B)=FERIAS)</formula>
    </cfRule>
    <cfRule type="notContainsBlanks" dxfId="330" priority="8">
      <formula>LEN(TRIM(D2))&gt;0</formula>
    </cfRule>
  </conditionalFormatting>
  <conditionalFormatting sqref="E2:F32">
    <cfRule type="expression" dxfId="329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328" priority="7" stopIfTrue="1">
      <formula>H2&lt;&gt;D2</formula>
    </cfRule>
  </conditionalFormatting>
  <conditionalFormatting sqref="L2:L32">
    <cfRule type="expression" dxfId="327" priority="15">
      <formula>OR(AND($L2=TIMEVALUE("8:00"),OR($B2="DIA ÚTIL",$B2=MEIO_COMPENSADO,$B2=COMPENSADO)),AND($L2&gt;=TIMEVALUE("6:00"),$L2&lt;=TIMEVALUE("8:00"),$B2=EXPEDIENTE_CORRIDO))</formula>
    </cfRule>
    <cfRule type="expression" dxfId="326" priority="16">
      <formula>OR($L2&gt;TIMEVALUE("8:00"),AND($L2&gt;TIMEVALUE("0:00"),OR($B2=FERIADO,$B2="FIM DE SEMANA",$B2=DISPENSADO)))</formula>
    </cfRule>
    <cfRule type="expression" dxfId="325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324" priority="30">
      <formula>AND(L2=0,$B2=FERIADO)</formula>
    </cfRule>
    <cfRule type="expression" dxfId="323" priority="31">
      <formula>AND(L2=0,$B2=DISPENSADO)</formula>
    </cfRule>
    <cfRule type="expression" dxfId="322" priority="32">
      <formula>AND(L2=0,$B2=FERIAS)</formula>
    </cfRule>
    <cfRule type="expression" dxfId="321" priority="33">
      <formula>AND(L2=0,$B2=MEIO_COMPENSADO)</formula>
    </cfRule>
    <cfRule type="expression" dxfId="320" priority="34">
      <formula>AND(L2=0,$B2=COMPENSADO)</formula>
    </cfRule>
    <cfRule type="expression" dxfId="319" priority="35">
      <formula>AND(L2=0,$B2=EXPEDIENTE_CORRIDO)</formula>
    </cfRule>
    <cfRule type="expression" dxfId="318" priority="36">
      <formula>AND(L2=0,$B2="FIM DE SEMANA")</formula>
    </cfRule>
    <cfRule type="expression" dxfId="317" priority="37">
      <formula>AND(L2=0,$B2="DIA ÚTIL")</formula>
    </cfRule>
    <cfRule type="expression" dxfId="316" priority="38">
      <formula>$B2=""</formula>
    </cfRule>
  </conditionalFormatting>
  <conditionalFormatting sqref="M2:O32">
    <cfRule type="cellIs" dxfId="315" priority="9" operator="lessThan">
      <formula>0</formula>
    </cfRule>
    <cfRule type="cellIs" dxfId="314" priority="10" operator="greaterThan">
      <formula>0</formula>
    </cfRule>
  </conditionalFormatting>
  <conditionalFormatting sqref="O2:O32">
    <cfRule type="expression" dxfId="313" priority="5" stopIfTrue="1">
      <formula>IF(OR(TIPO_DE_PONTO="Comercial",$A2="Sexta"),$O2&gt;=TIMEVALUE("0:31"),$O2&gt;=TIMEVALUE("1:01"))</formula>
    </cfRule>
  </conditionalFormatting>
  <conditionalFormatting sqref="P2:P33">
    <cfRule type="cellIs" dxfId="312" priority="11" operator="greaterThan">
      <formula>0</formula>
    </cfRule>
  </conditionalFormatting>
  <conditionalFormatting sqref="Q36 W37">
    <cfRule type="cellIs" dxfId="311" priority="19" operator="greaterThanOrEqual">
      <formula>0</formula>
    </cfRule>
    <cfRule type="cellIs" dxfId="310" priority="20" operator="lessThan">
      <formula>0</formula>
    </cfRule>
  </conditionalFormatting>
  <conditionalFormatting sqref="Q2:S33">
    <cfRule type="cellIs" dxfId="309" priority="12" operator="greaterThan">
      <formula>0</formula>
    </cfRule>
  </conditionalFormatting>
  <conditionalFormatting sqref="S40">
    <cfRule type="cellIs" dxfId="308" priority="1" operator="lessThan">
      <formula>0</formula>
    </cfRule>
    <cfRule type="cellIs" dxfId="307" priority="2" operator="greaterThan">
      <formula>0</formula>
    </cfRule>
  </conditionalFormatting>
  <conditionalFormatting sqref="T2:T33">
    <cfRule type="cellIs" dxfId="306" priority="13" operator="greaterThan">
      <formula>0</formula>
    </cfRule>
  </conditionalFormatting>
  <conditionalFormatting sqref="U2:X32 U33 W33:X33">
    <cfRule type="cellIs" dxfId="305" priority="14" operator="greaterThan">
      <formula>0</formula>
    </cfRule>
  </conditionalFormatting>
  <conditionalFormatting sqref="V33">
    <cfRule type="cellIs" dxfId="304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5DF3-D5F9-4212-AD66-E7D6B92F93D7}">
  <sheetPr codeName="Planilha9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"FIM DE SEMANA",
      "DIA ÚTIL")))</f>
        <v>FERIADO</v>
      </c>
      <c r="C2" s="71">
        <f ca="1">DATE(ANO,MONTH(1&amp;RIGHT(CELL("filename",$C$2),3)),1)</f>
        <v>44316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>Dia do Trabalho - Feriado Nacional</v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"FIM DE SEMANA",
      "DIA ÚTIL")))</f>
        <v>COMPENSADO</v>
      </c>
      <c r="C3" s="35">
        <f ca="1">IF($C2="",
  "",
  IF(MONTH($C2+1)=MONTH($C2),
    $C2+1,
    ""))</f>
        <v>44317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>Dia Compensado Facultativo (Dia Normal)</v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Sábado</v>
      </c>
      <c r="B4" s="34" t="str">
        <f ca="1">IF($C4="",
  "",
  IFERROR(VLOOKUP($C4,Calendario[],2,FALSE),
    IF(WEEKDAY($C4,2)&gt;5,
      "FIM DE SEMANA",
      "DIA ÚTIL")))</f>
        <v>FIM DE SEMANA</v>
      </c>
      <c r="C4" s="35">
        <f t="shared" ref="C4:C32" ca="1" si="11">IF($C3="",
  "",
  IF(MONTH($C3+1)=MONTH($C3),
    $C3+1,
    ""))</f>
        <v>44318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Domingo</v>
      </c>
      <c r="B5" s="34" t="str">
        <f ca="1">IF($C5="",
  "",
  IFERROR(VLOOKUP($C5,Calendario[],2,FALSE),
    IF(WEEKDAY($C5,2)&gt;5,
      "FIM DE SEMANA",
      "DIA ÚTIL")))</f>
        <v>FIM DE SEMANA</v>
      </c>
      <c r="C5" s="35">
        <f t="shared" ca="1" si="11"/>
        <v>44319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Segunda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44320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Terça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44321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Quarta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44322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Quinta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44323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Sexta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44324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Sábado</v>
      </c>
      <c r="B11" s="34" t="str">
        <f ca="1">IF($C11="",
  "",
  IFERROR(VLOOKUP($C11,Calendario[],2,FALSE),
    IF(WEEKDAY($C11,2)&gt;5,
      "FIM DE SEMANA",
      "DIA ÚTIL")))</f>
        <v>FIM DE SEMANA</v>
      </c>
      <c r="C11" s="35">
        <f t="shared" ca="1" si="11"/>
        <v>44325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Domingo</v>
      </c>
      <c r="B12" s="34" t="str">
        <f ca="1">IF($C12="",
  "",
  IFERROR(VLOOKUP($C12,Calendario[],2,FALSE),
    IF(WEEKDAY($C12,2)&gt;5,
      "FIM DE SEMANA",
      "DIA ÚTIL")))</f>
        <v>FIM DE SEMANA</v>
      </c>
      <c r="C12" s="35">
        <f t="shared" ca="1" si="11"/>
        <v>44326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Segunda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44327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Terça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44328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Quarta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44329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Quinta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44330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Sexta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44331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Sábado</v>
      </c>
      <c r="B18" s="34" t="str">
        <f ca="1">IF($C18="",
  "",
  IFERROR(VLOOKUP($C18,Calendario[],2,FALSE),
    IF(WEEKDAY($C18,2)&gt;5,
      "FIM DE SEMANA",
      "DIA ÚTIL")))</f>
        <v>FIM DE SEMANA</v>
      </c>
      <c r="C18" s="35">
        <f t="shared" ca="1" si="11"/>
        <v>44332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Domingo</v>
      </c>
      <c r="B19" s="34" t="str">
        <f ca="1">IF($C19="",
  "",
  IFERROR(VLOOKUP($C19,Calendario[],2,FALSE),
    IF(WEEKDAY($C19,2)&gt;5,
      "FIM DE SEMANA",
      "DIA ÚTIL")))</f>
        <v>FIM DE SEMANA</v>
      </c>
      <c r="C19" s="35">
        <f t="shared" ca="1" si="11"/>
        <v>44333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Segunda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44334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Terça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44335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Quarta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44336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Quinta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44337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Sexta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44338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Sábado</v>
      </c>
      <c r="B25" s="34" t="str">
        <f ca="1">IF($C25="",
  "",
  IFERROR(VLOOKUP($C25,Calendario[],2,FALSE),
    IF(WEEKDAY($C25,2)&gt;5,
      "FIM DE SEMANA",
      "DIA ÚTIL")))</f>
        <v>FIM DE SEMANA</v>
      </c>
      <c r="C25" s="35">
        <f t="shared" ca="1" si="11"/>
        <v>44339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Domingo</v>
      </c>
      <c r="B26" s="34" t="str">
        <f ca="1">IF($C26="",
  "",
  IFERROR(VLOOKUP($C26,Calendario[],2,FALSE),
    IF(WEEKDAY($C26,2)&gt;5,
      "FIM DE SEMANA",
      "DIA ÚTIL")))</f>
        <v>FIM DE SEMANA</v>
      </c>
      <c r="C26" s="35">
        <f t="shared" ca="1" si="11"/>
        <v>44340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Segunda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44341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Terça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44342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Quarta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44343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Quinta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44344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Sexta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44345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Sábado</v>
      </c>
      <c r="B32" s="149" t="str">
        <f ca="1">IF($C32="",
  "",
  IFERROR(VLOOKUP($C32,Calendario[],2,FALSE),
    IF(WEEKDAY($C32,2)&gt;5,
      "FIM DE SEMANA",
      "DIA ÚTIL")))</f>
        <v>FIM DE SEMANA</v>
      </c>
      <c r="C32" s="35">
        <f t="shared" ca="1" si="11"/>
        <v>44346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03" priority="21">
      <formula>$B2=FERIADO</formula>
    </cfRule>
    <cfRule type="expression" dxfId="302" priority="22">
      <formula>$B2=DISPENSADO</formula>
    </cfRule>
    <cfRule type="expression" dxfId="301" priority="23">
      <formula>$B2=FERIAS</formula>
    </cfRule>
    <cfRule type="expression" dxfId="300" priority="24">
      <formula>$B2=MEIO_COMPENSADO</formula>
    </cfRule>
    <cfRule type="expression" dxfId="299" priority="25">
      <formula>$B2=COMPENSADO</formula>
    </cfRule>
    <cfRule type="expression" dxfId="298" priority="26">
      <formula>$B2=EXPEDIENTE_CORRIDO</formula>
    </cfRule>
    <cfRule type="expression" dxfId="297" priority="27">
      <formula>$B2="FIM DE SEMANA"</formula>
    </cfRule>
    <cfRule type="expression" dxfId="296" priority="28">
      <formula>AND($B2="",ISBLANK($B3))</formula>
    </cfRule>
    <cfRule type="expression" dxfId="295" priority="29">
      <formula>AND($B2="",NOT(ISBLANK($B3)))</formula>
    </cfRule>
  </conditionalFormatting>
  <conditionalFormatting sqref="D2:G32 P2:X32">
    <cfRule type="cellIs" dxfId="294" priority="6" stopIfTrue="1" operator="lessThan">
      <formula>0</formula>
    </cfRule>
  </conditionalFormatting>
  <conditionalFormatting sqref="D2:G32">
    <cfRule type="expression" dxfId="293" priority="3" stopIfTrue="1">
      <formula>AND(NOT(ISBLANK(C2)),_xlfn.SINGLE($B:$B)=FERIAS)</formula>
    </cfRule>
    <cfRule type="notContainsBlanks" dxfId="292" priority="8">
      <formula>LEN(TRIM(D2))&gt;0</formula>
    </cfRule>
  </conditionalFormatting>
  <conditionalFormatting sqref="E2:F32">
    <cfRule type="expression" dxfId="291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290" priority="7" stopIfTrue="1">
      <formula>H2&lt;&gt;D2</formula>
    </cfRule>
  </conditionalFormatting>
  <conditionalFormatting sqref="L2:L32">
    <cfRule type="expression" dxfId="289" priority="15">
      <formula>OR(AND($L2=TIMEVALUE("8:00"),OR($B2="DIA ÚTIL",$B2=MEIO_COMPENSADO,$B2=COMPENSADO)),AND($L2&gt;=TIMEVALUE("6:00"),$L2&lt;=TIMEVALUE("8:00"),$B2=EXPEDIENTE_CORRIDO))</formula>
    </cfRule>
    <cfRule type="expression" dxfId="288" priority="16">
      <formula>OR($L2&gt;TIMEVALUE("8:00"),AND($L2&gt;TIMEVALUE("0:00"),OR($B2=FERIADO,$B2="FIM DE SEMANA",$B2=DISPENSADO)))</formula>
    </cfRule>
    <cfRule type="expression" dxfId="287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86" priority="30">
      <formula>AND(L2=0,$B2=FERIADO)</formula>
    </cfRule>
    <cfRule type="expression" dxfId="285" priority="31">
      <formula>AND(L2=0,$B2=DISPENSADO)</formula>
    </cfRule>
    <cfRule type="expression" dxfId="284" priority="32">
      <formula>AND(L2=0,$B2=FERIAS)</formula>
    </cfRule>
    <cfRule type="expression" dxfId="283" priority="33">
      <formula>AND(L2=0,$B2=MEIO_COMPENSADO)</formula>
    </cfRule>
    <cfRule type="expression" dxfId="282" priority="34">
      <formula>AND(L2=0,$B2=COMPENSADO)</formula>
    </cfRule>
    <cfRule type="expression" dxfId="281" priority="35">
      <formula>AND(L2=0,$B2=EXPEDIENTE_CORRIDO)</formula>
    </cfRule>
    <cfRule type="expression" dxfId="280" priority="36">
      <formula>AND(L2=0,$B2="FIM DE SEMANA")</formula>
    </cfRule>
    <cfRule type="expression" dxfId="279" priority="37">
      <formula>AND(L2=0,$B2="DIA ÚTIL")</formula>
    </cfRule>
    <cfRule type="expression" dxfId="278" priority="38">
      <formula>$B2=""</formula>
    </cfRule>
  </conditionalFormatting>
  <conditionalFormatting sqref="M2:O32">
    <cfRule type="cellIs" dxfId="277" priority="9" operator="lessThan">
      <formula>0</formula>
    </cfRule>
    <cfRule type="cellIs" dxfId="276" priority="10" operator="greaterThan">
      <formula>0</formula>
    </cfRule>
  </conditionalFormatting>
  <conditionalFormatting sqref="O2:O32">
    <cfRule type="expression" dxfId="275" priority="5" stopIfTrue="1">
      <formula>IF(OR(TIPO_DE_PONTO="Comercial",$A2="Sexta"),$O2&gt;=TIMEVALUE("0:31"),$O2&gt;=TIMEVALUE("1:01"))</formula>
    </cfRule>
  </conditionalFormatting>
  <conditionalFormatting sqref="P2:P33">
    <cfRule type="cellIs" dxfId="274" priority="11" operator="greaterThan">
      <formula>0</formula>
    </cfRule>
  </conditionalFormatting>
  <conditionalFormatting sqref="Q36 W37">
    <cfRule type="cellIs" dxfId="273" priority="19" operator="greaterThanOrEqual">
      <formula>0</formula>
    </cfRule>
    <cfRule type="cellIs" dxfId="272" priority="20" operator="lessThan">
      <formula>0</formula>
    </cfRule>
  </conditionalFormatting>
  <conditionalFormatting sqref="Q2:S33">
    <cfRule type="cellIs" dxfId="271" priority="12" operator="greaterThan">
      <formula>0</formula>
    </cfRule>
  </conditionalFormatting>
  <conditionalFormatting sqref="S40">
    <cfRule type="cellIs" dxfId="270" priority="1" operator="lessThan">
      <formula>0</formula>
    </cfRule>
    <cfRule type="cellIs" dxfId="269" priority="2" operator="greaterThan">
      <formula>0</formula>
    </cfRule>
  </conditionalFormatting>
  <conditionalFormatting sqref="T2:T33">
    <cfRule type="cellIs" dxfId="268" priority="13" operator="greaterThan">
      <formula>0</formula>
    </cfRule>
  </conditionalFormatting>
  <conditionalFormatting sqref="U2:X32 U33 W33:X33">
    <cfRule type="cellIs" dxfId="267" priority="14" operator="greaterThan">
      <formula>0</formula>
    </cfRule>
  </conditionalFormatting>
  <conditionalFormatting sqref="V33">
    <cfRule type="cellIs" dxfId="266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0F1C-3864-4145-9D86-ABCF381B5BD6}">
  <sheetPr codeName="Planilha10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"FIM DE SEMANA",
      "DIA ÚTIL")))</f>
        <v>FIM DE SEMANA</v>
      </c>
      <c r="C2" s="71">
        <f ca="1">DATE(ANO,MONTH(1&amp;RIGHT(CELL("filename",$C$2),3)),1)</f>
        <v>44347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44348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Terça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44349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Quarta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44350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Quinta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44351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Sexta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44352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Sábado</v>
      </c>
      <c r="B8" s="34" t="str">
        <f ca="1">IF($C8="",
  "",
  IFERROR(VLOOKUP($C8,Calendario[],2,FALSE),
    IF(WEEKDAY($C8,2)&gt;5,
      "FIM DE SEMANA",
      "DIA ÚTIL")))</f>
        <v>FIM DE SEMANA</v>
      </c>
      <c r="C8" s="35">
        <f t="shared" ca="1" si="11"/>
        <v>44353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Domingo</v>
      </c>
      <c r="B9" s="34" t="str">
        <f ca="1">IF($C9="",
  "",
  IFERROR(VLOOKUP($C9,Calendario[],2,FALSE),
    IF(WEEKDAY($C9,2)&gt;5,
      "FIM DE SEMANA",
      "DIA ÚTIL")))</f>
        <v>FIM DE SEMANA</v>
      </c>
      <c r="C9" s="35">
        <f t="shared" ca="1" si="11"/>
        <v>44354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Segunda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44355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Terça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44356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Quarta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44357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Quinta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44358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Sexta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44359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Sábado</v>
      </c>
      <c r="B15" s="34" t="str">
        <f ca="1">IF($C15="",
  "",
  IFERROR(VLOOKUP($C15,Calendario[],2,FALSE),
    IF(WEEKDAY($C15,2)&gt;5,
      "FIM DE SEMANA",
      "DIA ÚTIL")))</f>
        <v>FIM DE SEMANA</v>
      </c>
      <c r="C15" s="35">
        <f t="shared" ca="1" si="11"/>
        <v>44360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Domingo</v>
      </c>
      <c r="B16" s="34" t="str">
        <f ca="1">IF($C16="",
  "",
  IFERROR(VLOOKUP($C16,Calendario[],2,FALSE),
    IF(WEEKDAY($C16,2)&gt;5,
      "FIM DE SEMANA",
      "DIA ÚTIL")))</f>
        <v>FIM DE SEMANA</v>
      </c>
      <c r="C16" s="35">
        <f t="shared" ca="1" si="11"/>
        <v>44361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Segunda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44362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Terça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44363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Quarta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44364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Quinta</v>
      </c>
      <c r="B20" s="34" t="str">
        <f ca="1">IF($C20="",
  "",
  IFERROR(VLOOKUP($C20,Calendario[],2,FALSE),
    IF(WEEKDAY($C20,2)&gt;5,
      "FIM DE SEMANA",
      "DIA ÚTIL")))</f>
        <v>FERIADO</v>
      </c>
      <c r="C20" s="35">
        <f t="shared" ca="1" si="11"/>
        <v>44365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>Dia de Corpus Christi - Feriado Municipal</v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Sexta</v>
      </c>
      <c r="B21" s="34" t="str">
        <f ca="1">IF($C21="",
  "",
  IFERROR(VLOOKUP($C21,Calendario[],2,FALSE),
    IF(WEEKDAY($C21,2)&gt;5,
      "FIM DE SEMANA",
      "DIA ÚTIL")))</f>
        <v>COMPENSADO</v>
      </c>
      <c r="C21" s="35">
        <f t="shared" ca="1" si="11"/>
        <v>44366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>Dia Compensado Facultativo (Dia Normal)</v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Sábado</v>
      </c>
      <c r="B22" s="34" t="str">
        <f ca="1">IF($C22="",
  "",
  IFERROR(VLOOKUP($C22,Calendario[],2,FALSE),
    IF(WEEKDAY($C22,2)&gt;5,
      "FIM DE SEMANA",
      "DIA ÚTIL")))</f>
        <v>FIM DE SEMANA</v>
      </c>
      <c r="C22" s="35">
        <f t="shared" ca="1" si="11"/>
        <v>44367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Domingo</v>
      </c>
      <c r="B23" s="34" t="str">
        <f ca="1">IF($C23="",
  "",
  IFERROR(VLOOKUP($C23,Calendario[],2,FALSE),
    IF(WEEKDAY($C23,2)&gt;5,
      "FIM DE SEMANA",
      "DIA ÚTIL")))</f>
        <v>FIM DE SEMANA</v>
      </c>
      <c r="C23" s="35">
        <f t="shared" ca="1" si="11"/>
        <v>44368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Segunda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44369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Terça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44370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Quarta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44371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Quinta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44372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Sexta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44373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Sábado</v>
      </c>
      <c r="B29" s="34" t="str">
        <f ca="1">IF($C29="",
  "",
  IFERROR(VLOOKUP($C29,Calendario[],2,FALSE),
    IF(WEEKDAY($C29,2)&gt;5,
      "FIM DE SEMANA",
      "DIA ÚTIL")))</f>
        <v>FIM DE SEMANA</v>
      </c>
      <c r="C29" s="35">
        <f t="shared" ca="1" si="11"/>
        <v>44374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Domingo</v>
      </c>
      <c r="B30" s="34" t="str">
        <f ca="1">IF($C30="",
  "",
  IFERROR(VLOOKUP($C30,Calendario[],2,FALSE),
    IF(WEEKDAY($C30,2)&gt;5,
      "FIM DE SEMANA",
      "DIA ÚTIL")))</f>
        <v>FIM DE SEMANA</v>
      </c>
      <c r="C30" s="35">
        <f t="shared" ca="1" si="11"/>
        <v>44375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6.5" thickBot="1" x14ac:dyDescent="0.3">
      <c r="A31" s="33" t="str">
        <f t="shared" ca="1" si="8"/>
        <v>Segunda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44376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hidden="1" thickBot="1" x14ac:dyDescent="0.3">
      <c r="A32" s="81" t="str">
        <f t="shared" ca="1" si="8"/>
        <v/>
      </c>
      <c r="B32" s="149" t="str">
        <f ca="1">IF($C32="",
  "",
  IFERROR(VLOOKUP($C32,Calendario[],2,FALSE),
    IF(WEEKDAY($C32,2)&gt;5,
      "FIM DE SEMANA",
      "DIA ÚTIL")))</f>
        <v/>
      </c>
      <c r="C32" s="35" t="str">
        <f t="shared" ca="1" si="11"/>
        <v/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65" priority="21">
      <formula>$B2=FERIADO</formula>
    </cfRule>
    <cfRule type="expression" dxfId="264" priority="22">
      <formula>$B2=DISPENSADO</formula>
    </cfRule>
    <cfRule type="expression" dxfId="263" priority="23">
      <formula>$B2=FERIAS</formula>
    </cfRule>
    <cfRule type="expression" dxfId="262" priority="24">
      <formula>$B2=MEIO_COMPENSADO</formula>
    </cfRule>
    <cfRule type="expression" dxfId="261" priority="25">
      <formula>$B2=COMPENSADO</formula>
    </cfRule>
    <cfRule type="expression" dxfId="260" priority="26">
      <formula>$B2=EXPEDIENTE_CORRIDO</formula>
    </cfRule>
    <cfRule type="expression" dxfId="259" priority="27">
      <formula>$B2="FIM DE SEMANA"</formula>
    </cfRule>
    <cfRule type="expression" dxfId="258" priority="28">
      <formula>AND($B2="",ISBLANK($B3))</formula>
    </cfRule>
    <cfRule type="expression" dxfId="257" priority="29">
      <formula>AND($B2="",NOT(ISBLANK($B3)))</formula>
    </cfRule>
  </conditionalFormatting>
  <conditionalFormatting sqref="D2:G32 P2:X32">
    <cfRule type="cellIs" dxfId="256" priority="6" stopIfTrue="1" operator="lessThan">
      <formula>0</formula>
    </cfRule>
  </conditionalFormatting>
  <conditionalFormatting sqref="D2:G32">
    <cfRule type="expression" dxfId="255" priority="3" stopIfTrue="1">
      <formula>AND(NOT(ISBLANK(C2)),_xlfn.SINGLE($B:$B)=FERIAS)</formula>
    </cfRule>
    <cfRule type="notContainsBlanks" dxfId="254" priority="8">
      <formula>LEN(TRIM(D2))&gt;0</formula>
    </cfRule>
  </conditionalFormatting>
  <conditionalFormatting sqref="E2:F32">
    <cfRule type="expression" dxfId="253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252" priority="7" stopIfTrue="1">
      <formula>H2&lt;&gt;D2</formula>
    </cfRule>
  </conditionalFormatting>
  <conditionalFormatting sqref="L2:L32">
    <cfRule type="expression" dxfId="251" priority="15">
      <formula>OR(AND($L2=TIMEVALUE("8:00"),OR($B2="DIA ÚTIL",$B2=MEIO_COMPENSADO,$B2=COMPENSADO)),AND($L2&gt;=TIMEVALUE("6:00"),$L2&lt;=TIMEVALUE("8:00"),$B2=EXPEDIENTE_CORRIDO))</formula>
    </cfRule>
    <cfRule type="expression" dxfId="250" priority="16">
      <formula>OR($L2&gt;TIMEVALUE("8:00"),AND($L2&gt;TIMEVALUE("0:00"),OR($B2=FERIADO,$B2="FIM DE SEMANA",$B2=DISPENSADO)))</formula>
    </cfRule>
    <cfRule type="expression" dxfId="249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48" priority="30">
      <formula>AND(L2=0,$B2=FERIADO)</formula>
    </cfRule>
    <cfRule type="expression" dxfId="247" priority="31">
      <formula>AND(L2=0,$B2=DISPENSADO)</formula>
    </cfRule>
    <cfRule type="expression" dxfId="246" priority="32">
      <formula>AND(L2=0,$B2=FERIAS)</formula>
    </cfRule>
    <cfRule type="expression" dxfId="245" priority="33">
      <formula>AND(L2=0,$B2=MEIO_COMPENSADO)</formula>
    </cfRule>
    <cfRule type="expression" dxfId="244" priority="34">
      <formula>AND(L2=0,$B2=COMPENSADO)</formula>
    </cfRule>
    <cfRule type="expression" dxfId="243" priority="35">
      <formula>AND(L2=0,$B2=EXPEDIENTE_CORRIDO)</formula>
    </cfRule>
    <cfRule type="expression" dxfId="242" priority="36">
      <formula>AND(L2=0,$B2="FIM DE SEMANA")</formula>
    </cfRule>
    <cfRule type="expression" dxfId="241" priority="37">
      <formula>AND(L2=0,$B2="DIA ÚTIL")</formula>
    </cfRule>
    <cfRule type="expression" dxfId="240" priority="38">
      <formula>$B2=""</formula>
    </cfRule>
  </conditionalFormatting>
  <conditionalFormatting sqref="M2:O32">
    <cfRule type="cellIs" dxfId="239" priority="9" operator="lessThan">
      <formula>0</formula>
    </cfRule>
    <cfRule type="cellIs" dxfId="238" priority="10" operator="greaterThan">
      <formula>0</formula>
    </cfRule>
  </conditionalFormatting>
  <conditionalFormatting sqref="O2:O32">
    <cfRule type="expression" dxfId="237" priority="5" stopIfTrue="1">
      <formula>IF(OR(TIPO_DE_PONTO="Comercial",$A2="Sexta"),$O2&gt;=TIMEVALUE("0:31"),$O2&gt;=TIMEVALUE("1:01"))</formula>
    </cfRule>
  </conditionalFormatting>
  <conditionalFormatting sqref="P2:P33">
    <cfRule type="cellIs" dxfId="236" priority="11" operator="greaterThan">
      <formula>0</formula>
    </cfRule>
  </conditionalFormatting>
  <conditionalFormatting sqref="Q36 W37">
    <cfRule type="cellIs" dxfId="235" priority="19" operator="greaterThanOrEqual">
      <formula>0</formula>
    </cfRule>
    <cfRule type="cellIs" dxfId="234" priority="20" operator="lessThan">
      <formula>0</formula>
    </cfRule>
  </conditionalFormatting>
  <conditionalFormatting sqref="Q2:S33">
    <cfRule type="cellIs" dxfId="233" priority="12" operator="greaterThan">
      <formula>0</formula>
    </cfRule>
  </conditionalFormatting>
  <conditionalFormatting sqref="S40">
    <cfRule type="cellIs" dxfId="232" priority="1" operator="lessThan">
      <formula>0</formula>
    </cfRule>
    <cfRule type="cellIs" dxfId="231" priority="2" operator="greaterThan">
      <formula>0</formula>
    </cfRule>
  </conditionalFormatting>
  <conditionalFormatting sqref="T2:T33">
    <cfRule type="cellIs" dxfId="230" priority="13" operator="greaterThan">
      <formula>0</formula>
    </cfRule>
  </conditionalFormatting>
  <conditionalFormatting sqref="U2:X32 U33 W33:X33">
    <cfRule type="cellIs" dxfId="229" priority="14" operator="greaterThan">
      <formula>0</formula>
    </cfRule>
  </conditionalFormatting>
  <conditionalFormatting sqref="V33">
    <cfRule type="cellIs" dxfId="228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10707-735E-42EF-AF34-84DB9AB45D11}">
  <sheetPr codeName="Planilha11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44377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44378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Quinta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44379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Sexta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44380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Sábado</v>
      </c>
      <c r="B6" s="34" t="str">
        <f ca="1">IF($C6="",
  "",
  IFERROR(VLOOKUP($C6,Calendario[],2,FALSE),
    IF(WEEKDAY($C6,2)&gt;5,
      "FIM DE SEMANA",
      "DIA ÚTIL")))</f>
        <v>FIM DE SEMANA</v>
      </c>
      <c r="C6" s="35">
        <f t="shared" ca="1" si="11"/>
        <v>44381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Domingo</v>
      </c>
      <c r="B7" s="34" t="str">
        <f ca="1">IF($C7="",
  "",
  IFERROR(VLOOKUP($C7,Calendario[],2,FALSE),
    IF(WEEKDAY($C7,2)&gt;5,
      "FIM DE SEMANA",
      "DIA ÚTIL")))</f>
        <v>FIM DE SEMANA</v>
      </c>
      <c r="C7" s="35">
        <f t="shared" ca="1" si="11"/>
        <v>44382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Segunda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44383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Terça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44384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Quarta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44385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Quinta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44386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Sexta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44387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Sábado</v>
      </c>
      <c r="B13" s="34" t="str">
        <f ca="1">IF($C13="",
  "",
  IFERROR(VLOOKUP($C13,Calendario[],2,FALSE),
    IF(WEEKDAY($C13,2)&gt;5,
      "FIM DE SEMANA",
      "DIA ÚTIL")))</f>
        <v>FIM DE SEMANA</v>
      </c>
      <c r="C13" s="35">
        <f t="shared" ca="1" si="11"/>
        <v>44388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Domingo</v>
      </c>
      <c r="B14" s="34" t="str">
        <f ca="1">IF($C14="",
  "",
  IFERROR(VLOOKUP($C14,Calendario[],2,FALSE),
    IF(WEEKDAY($C14,2)&gt;5,
      "FIM DE SEMANA",
      "DIA ÚTIL")))</f>
        <v>FIM DE SEMANA</v>
      </c>
      <c r="C14" s="35">
        <f t="shared" ca="1" si="11"/>
        <v>44389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Segunda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44390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Terça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44391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Quarta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44392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Quinta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44393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Sexta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44394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Sábado</v>
      </c>
      <c r="B20" s="34" t="str">
        <f ca="1">IF($C20="",
  "",
  IFERROR(VLOOKUP($C20,Calendario[],2,FALSE),
    IF(WEEKDAY($C20,2)&gt;5,
      "FIM DE SEMANA",
      "DIA ÚTIL")))</f>
        <v>FIM DE SEMANA</v>
      </c>
      <c r="C20" s="35">
        <f t="shared" ca="1" si="11"/>
        <v>44395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Domingo</v>
      </c>
      <c r="B21" s="34" t="str">
        <f ca="1">IF($C21="",
  "",
  IFERROR(VLOOKUP($C21,Calendario[],2,FALSE),
    IF(WEEKDAY($C21,2)&gt;5,
      "FIM DE SEMANA",
      "DIA ÚTIL")))</f>
        <v>FIM DE SEMANA</v>
      </c>
      <c r="C21" s="35">
        <f t="shared" ca="1" si="11"/>
        <v>44396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Segunda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44397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Terça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44398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Quarta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44399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Quinta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44400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Sexta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44401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Sábado</v>
      </c>
      <c r="B27" s="34" t="str">
        <f ca="1">IF($C27="",
  "",
  IFERROR(VLOOKUP($C27,Calendario[],2,FALSE),
    IF(WEEKDAY($C27,2)&gt;5,
      "FIM DE SEMANA",
      "DIA ÚTIL")))</f>
        <v>FIM DE SEMANA</v>
      </c>
      <c r="C27" s="35">
        <f t="shared" ca="1" si="11"/>
        <v>44402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Domingo</v>
      </c>
      <c r="B28" s="34" t="str">
        <f ca="1">IF($C28="",
  "",
  IFERROR(VLOOKUP($C28,Calendario[],2,FALSE),
    IF(WEEKDAY($C28,2)&gt;5,
      "FIM DE SEMANA",
      "DIA ÚTIL")))</f>
        <v>FIM DE SEMANA</v>
      </c>
      <c r="C28" s="35">
        <f t="shared" ca="1" si="11"/>
        <v>44403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Segunda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44404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Terça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44405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Quarta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44406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Quinta</v>
      </c>
      <c r="B32" s="149" t="str">
        <f ca="1">IF($C32="",
  "",
  IFERROR(VLOOKUP($C32,Calendario[],2,FALSE),
    IF(WEEKDAY($C32,2)&gt;5,
      "FIM DE SEMANA",
      "DIA ÚTIL")))</f>
        <v>DIA ÚTIL</v>
      </c>
      <c r="C32" s="35">
        <f t="shared" ca="1" si="11"/>
        <v>44407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227" priority="21">
      <formula>$B2=FERIADO</formula>
    </cfRule>
    <cfRule type="expression" dxfId="226" priority="22">
      <formula>$B2=DISPENSADO</formula>
    </cfRule>
    <cfRule type="expression" dxfId="225" priority="23">
      <formula>$B2=FERIAS</formula>
    </cfRule>
    <cfRule type="expression" dxfId="224" priority="24">
      <formula>$B2=MEIO_COMPENSADO</formula>
    </cfRule>
    <cfRule type="expression" dxfId="223" priority="25">
      <formula>$B2=COMPENSADO</formula>
    </cfRule>
    <cfRule type="expression" dxfId="222" priority="26">
      <formula>$B2=EXPEDIENTE_CORRIDO</formula>
    </cfRule>
    <cfRule type="expression" dxfId="221" priority="27">
      <formula>$B2="FIM DE SEMANA"</formula>
    </cfRule>
    <cfRule type="expression" dxfId="220" priority="28">
      <formula>AND($B2="",ISBLANK($B3))</formula>
    </cfRule>
    <cfRule type="expression" dxfId="219" priority="29">
      <formula>AND($B2="",NOT(ISBLANK($B3)))</formula>
    </cfRule>
  </conditionalFormatting>
  <conditionalFormatting sqref="D2:G32 P2:X32">
    <cfRule type="cellIs" dxfId="218" priority="6" stopIfTrue="1" operator="lessThan">
      <formula>0</formula>
    </cfRule>
  </conditionalFormatting>
  <conditionalFormatting sqref="D2:G32">
    <cfRule type="expression" dxfId="217" priority="3" stopIfTrue="1">
      <formula>AND(NOT(ISBLANK(C2)),_xlfn.SINGLE($B:$B)=FERIAS)</formula>
    </cfRule>
    <cfRule type="notContainsBlanks" dxfId="216" priority="8">
      <formula>LEN(TRIM(D2))&gt;0</formula>
    </cfRule>
  </conditionalFormatting>
  <conditionalFormatting sqref="E2:F32">
    <cfRule type="expression" dxfId="215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214" priority="7" stopIfTrue="1">
      <formula>H2&lt;&gt;D2</formula>
    </cfRule>
  </conditionalFormatting>
  <conditionalFormatting sqref="L2:L32">
    <cfRule type="expression" dxfId="213" priority="15">
      <formula>OR(AND($L2=TIMEVALUE("8:00"),OR($B2="DIA ÚTIL",$B2=MEIO_COMPENSADO,$B2=COMPENSADO)),AND($L2&gt;=TIMEVALUE("6:00"),$L2&lt;=TIMEVALUE("8:00"),$B2=EXPEDIENTE_CORRIDO))</formula>
    </cfRule>
    <cfRule type="expression" dxfId="212" priority="16">
      <formula>OR($L2&gt;TIMEVALUE("8:00"),AND($L2&gt;TIMEVALUE("0:00"),OR($B2=FERIADO,$B2="FIM DE SEMANA",$B2=DISPENSADO)))</formula>
    </cfRule>
    <cfRule type="expression" dxfId="211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10" priority="30">
      <formula>AND(L2=0,$B2=FERIADO)</formula>
    </cfRule>
    <cfRule type="expression" dxfId="209" priority="31">
      <formula>AND(L2=0,$B2=DISPENSADO)</formula>
    </cfRule>
    <cfRule type="expression" dxfId="208" priority="32">
      <formula>AND(L2=0,$B2=FERIAS)</formula>
    </cfRule>
    <cfRule type="expression" dxfId="207" priority="33">
      <formula>AND(L2=0,$B2=MEIO_COMPENSADO)</formula>
    </cfRule>
    <cfRule type="expression" dxfId="206" priority="34">
      <formula>AND(L2=0,$B2=COMPENSADO)</formula>
    </cfRule>
    <cfRule type="expression" dxfId="205" priority="35">
      <formula>AND(L2=0,$B2=EXPEDIENTE_CORRIDO)</formula>
    </cfRule>
    <cfRule type="expression" dxfId="204" priority="36">
      <formula>AND(L2=0,$B2="FIM DE SEMANA")</formula>
    </cfRule>
    <cfRule type="expression" dxfId="203" priority="37">
      <formula>AND(L2=0,$B2="DIA ÚTIL")</formula>
    </cfRule>
    <cfRule type="expression" dxfId="202" priority="38">
      <formula>$B2=""</formula>
    </cfRule>
  </conditionalFormatting>
  <conditionalFormatting sqref="M2:O32">
    <cfRule type="cellIs" dxfId="201" priority="9" operator="lessThan">
      <formula>0</formula>
    </cfRule>
    <cfRule type="cellIs" dxfId="200" priority="10" operator="greaterThan">
      <formula>0</formula>
    </cfRule>
  </conditionalFormatting>
  <conditionalFormatting sqref="O2:O32">
    <cfRule type="expression" dxfId="199" priority="5" stopIfTrue="1">
      <formula>IF(OR(TIPO_DE_PONTO="Comercial",$A2="Sexta"),$O2&gt;=TIMEVALUE("0:31"),$O2&gt;=TIMEVALUE("1:01"))</formula>
    </cfRule>
  </conditionalFormatting>
  <conditionalFormatting sqref="P2:P33">
    <cfRule type="cellIs" dxfId="198" priority="11" operator="greaterThan">
      <formula>0</formula>
    </cfRule>
  </conditionalFormatting>
  <conditionalFormatting sqref="Q36 W37">
    <cfRule type="cellIs" dxfId="197" priority="19" operator="greaterThanOrEqual">
      <formula>0</formula>
    </cfRule>
    <cfRule type="cellIs" dxfId="196" priority="20" operator="lessThan">
      <formula>0</formula>
    </cfRule>
  </conditionalFormatting>
  <conditionalFormatting sqref="Q2:S33">
    <cfRule type="cellIs" dxfId="195" priority="12" operator="greaterThan">
      <formula>0</formula>
    </cfRule>
  </conditionalFormatting>
  <conditionalFormatting sqref="S40">
    <cfRule type="cellIs" dxfId="194" priority="1" operator="lessThan">
      <formula>0</formula>
    </cfRule>
    <cfRule type="cellIs" dxfId="193" priority="2" operator="greaterThan">
      <formula>0</formula>
    </cfRule>
  </conditionalFormatting>
  <conditionalFormatting sqref="T2:T33">
    <cfRule type="cellIs" dxfId="192" priority="13" operator="greaterThan">
      <formula>0</formula>
    </cfRule>
  </conditionalFormatting>
  <conditionalFormatting sqref="U2:X32 U33 W33:X33">
    <cfRule type="cellIs" dxfId="191" priority="14" operator="greaterThan">
      <formula>0</formula>
    </cfRule>
  </conditionalFormatting>
  <conditionalFormatting sqref="V33">
    <cfRule type="cellIs" dxfId="190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3AEC-462A-4397-AD8E-7B99FB173D9F}">
  <sheetPr codeName="Planilha12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Sexta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44408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Sábado</v>
      </c>
      <c r="B3" s="34" t="str">
        <f ca="1">IF($C3="",
  "",
  IFERROR(VLOOKUP($C3,Calendario[],2,FALSE),
    IF(WEEKDAY($C3,2)&gt;5,
      "FIM DE SEMANA",
      "DIA ÚTIL")))</f>
        <v>FIM DE SEMANA</v>
      </c>
      <c r="C3" s="35">
        <f ca="1">IF($C2="",
  "",
  IF(MONTH($C2+1)=MONTH($C2),
    $C2+1,
    ""))</f>
        <v>44409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Domingo</v>
      </c>
      <c r="B4" s="34" t="str">
        <f ca="1">IF($C4="",
  "",
  IFERROR(VLOOKUP($C4,Calendario[],2,FALSE),
    IF(WEEKDAY($C4,2)&gt;5,
      "FIM DE SEMANA",
      "DIA ÚTIL")))</f>
        <v>FIM DE SEMANA</v>
      </c>
      <c r="C4" s="35">
        <f t="shared" ref="C4:C32" ca="1" si="11">IF($C3="",
  "",
  IF(MONTH($C3+1)=MONTH($C3),
    $C3+1,
    ""))</f>
        <v>44410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Segunda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44411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Terça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44412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Quarta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44413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Quinta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44414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Sexta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44415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Sábado</v>
      </c>
      <c r="B10" s="34" t="str">
        <f ca="1">IF($C10="",
  "",
  IFERROR(VLOOKUP($C10,Calendario[],2,FALSE),
    IF(WEEKDAY($C10,2)&gt;5,
      "FIM DE SEMANA",
      "DIA ÚTIL")))</f>
        <v>FIM DE SEMANA</v>
      </c>
      <c r="C10" s="35">
        <f t="shared" ca="1" si="11"/>
        <v>44416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Domingo</v>
      </c>
      <c r="B11" s="34" t="str">
        <f ca="1">IF($C11="",
  "",
  IFERROR(VLOOKUP($C11,Calendario[],2,FALSE),
    IF(WEEKDAY($C11,2)&gt;5,
      "FIM DE SEMANA",
      "DIA ÚTIL")))</f>
        <v>FIM DE SEMANA</v>
      </c>
      <c r="C11" s="35">
        <f t="shared" ca="1" si="11"/>
        <v>44417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Segunda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44418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Terça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44419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Quarta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44420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Quinta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44421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Sexta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44422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Sábado</v>
      </c>
      <c r="B17" s="34" t="str">
        <f ca="1">IF($C17="",
  "",
  IFERROR(VLOOKUP($C17,Calendario[],2,FALSE),
    IF(WEEKDAY($C17,2)&gt;5,
      "FIM DE SEMANA",
      "DIA ÚTIL")))</f>
        <v>FIM DE SEMANA</v>
      </c>
      <c r="C17" s="35">
        <f t="shared" ca="1" si="11"/>
        <v>44423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Domingo</v>
      </c>
      <c r="B18" s="34" t="str">
        <f ca="1">IF($C18="",
  "",
  IFERROR(VLOOKUP($C18,Calendario[],2,FALSE),
    IF(WEEKDAY($C18,2)&gt;5,
      "FIM DE SEMANA",
      "DIA ÚTIL")))</f>
        <v>FIM DE SEMANA</v>
      </c>
      <c r="C18" s="35">
        <f t="shared" ca="1" si="11"/>
        <v>44424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Segunda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44425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Terça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44426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Quarta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44427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Quinta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44428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Sexta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44429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Sábado</v>
      </c>
      <c r="B24" s="34" t="str">
        <f ca="1">IF($C24="",
  "",
  IFERROR(VLOOKUP($C24,Calendario[],2,FALSE),
    IF(WEEKDAY($C24,2)&gt;5,
      "FIM DE SEMANA",
      "DIA ÚTIL")))</f>
        <v>FIM DE SEMANA</v>
      </c>
      <c r="C24" s="35">
        <f t="shared" ca="1" si="11"/>
        <v>44430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Domingo</v>
      </c>
      <c r="B25" s="34" t="str">
        <f ca="1">IF($C25="",
  "",
  IFERROR(VLOOKUP($C25,Calendario[],2,FALSE),
    IF(WEEKDAY($C25,2)&gt;5,
      "FIM DE SEMANA",
      "DIA ÚTIL")))</f>
        <v>FIM DE SEMANA</v>
      </c>
      <c r="C25" s="35">
        <f t="shared" ca="1" si="11"/>
        <v>44431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Segunda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44432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Terça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44433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Quarta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44434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Quinta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44435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Sexta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44436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Sábado</v>
      </c>
      <c r="B31" s="34" t="str">
        <f ca="1">IF($C31="",
  "",
  IFERROR(VLOOKUP($C31,Calendario[],2,FALSE),
    IF(WEEKDAY($C31,2)&gt;5,
      "FIM DE SEMANA",
      "DIA ÚTIL")))</f>
        <v>FIM DE SEMANA</v>
      </c>
      <c r="C31" s="35">
        <f t="shared" ca="1" si="11"/>
        <v>44437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Domingo</v>
      </c>
      <c r="B32" s="149" t="str">
        <f ca="1">IF($C32="",
  "",
  IFERROR(VLOOKUP($C32,Calendario[],2,FALSE),
    IF(WEEKDAY($C32,2)&gt;5,
      "FIM DE SEMANA",
      "DIA ÚTIL")))</f>
        <v>FIM DE SEMANA</v>
      </c>
      <c r="C32" s="35">
        <f t="shared" ca="1" si="11"/>
        <v>44438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89" priority="21">
      <formula>$B2=FERIADO</formula>
    </cfRule>
    <cfRule type="expression" dxfId="188" priority="22">
      <formula>$B2=DISPENSADO</formula>
    </cfRule>
    <cfRule type="expression" dxfId="187" priority="23">
      <formula>$B2=FERIAS</formula>
    </cfRule>
    <cfRule type="expression" dxfId="186" priority="24">
      <formula>$B2=MEIO_COMPENSADO</formula>
    </cfRule>
    <cfRule type="expression" dxfId="185" priority="25">
      <formula>$B2=COMPENSADO</formula>
    </cfRule>
    <cfRule type="expression" dxfId="184" priority="26">
      <formula>$B2=EXPEDIENTE_CORRIDO</formula>
    </cfRule>
    <cfRule type="expression" dxfId="183" priority="27">
      <formula>$B2="FIM DE SEMANA"</formula>
    </cfRule>
    <cfRule type="expression" dxfId="182" priority="28">
      <formula>AND($B2="",ISBLANK($B3))</formula>
    </cfRule>
    <cfRule type="expression" dxfId="181" priority="29">
      <formula>AND($B2="",NOT(ISBLANK($B3)))</formula>
    </cfRule>
  </conditionalFormatting>
  <conditionalFormatting sqref="D2:G32 P2:X32">
    <cfRule type="cellIs" dxfId="180" priority="6" stopIfTrue="1" operator="lessThan">
      <formula>0</formula>
    </cfRule>
  </conditionalFormatting>
  <conditionalFormatting sqref="D2:G32">
    <cfRule type="expression" dxfId="179" priority="3" stopIfTrue="1">
      <formula>AND(NOT(ISBLANK(C2)),_xlfn.SINGLE($B:$B)=FERIAS)</formula>
    </cfRule>
    <cfRule type="notContainsBlanks" dxfId="178" priority="8">
      <formula>LEN(TRIM(D2))&gt;0</formula>
    </cfRule>
  </conditionalFormatting>
  <conditionalFormatting sqref="E2:F32">
    <cfRule type="expression" dxfId="177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176" priority="7" stopIfTrue="1">
      <formula>H2&lt;&gt;D2</formula>
    </cfRule>
  </conditionalFormatting>
  <conditionalFormatting sqref="L2:L32">
    <cfRule type="expression" dxfId="175" priority="15">
      <formula>OR(AND($L2=TIMEVALUE("8:00"),OR($B2="DIA ÚTIL",$B2=MEIO_COMPENSADO,$B2=COMPENSADO)),AND($L2&gt;=TIMEVALUE("6:00"),$L2&lt;=TIMEVALUE("8:00"),$B2=EXPEDIENTE_CORRIDO))</formula>
    </cfRule>
    <cfRule type="expression" dxfId="174" priority="16">
      <formula>OR($L2&gt;TIMEVALUE("8:00"),AND($L2&gt;TIMEVALUE("0:00"),OR($B2=FERIADO,$B2="FIM DE SEMANA",$B2=DISPENSADO)))</formula>
    </cfRule>
    <cfRule type="expression" dxfId="173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172" priority="30">
      <formula>AND(L2=0,$B2=FERIADO)</formula>
    </cfRule>
    <cfRule type="expression" dxfId="171" priority="31">
      <formula>AND(L2=0,$B2=DISPENSADO)</formula>
    </cfRule>
    <cfRule type="expression" dxfId="170" priority="32">
      <formula>AND(L2=0,$B2=FERIAS)</formula>
    </cfRule>
    <cfRule type="expression" dxfId="169" priority="33">
      <formula>AND(L2=0,$B2=MEIO_COMPENSADO)</formula>
    </cfRule>
    <cfRule type="expression" dxfId="168" priority="34">
      <formula>AND(L2=0,$B2=COMPENSADO)</formula>
    </cfRule>
    <cfRule type="expression" dxfId="167" priority="35">
      <formula>AND(L2=0,$B2=EXPEDIENTE_CORRIDO)</formula>
    </cfRule>
    <cfRule type="expression" dxfId="166" priority="36">
      <formula>AND(L2=0,$B2="FIM DE SEMANA")</formula>
    </cfRule>
    <cfRule type="expression" dxfId="165" priority="37">
      <formula>AND(L2=0,$B2="DIA ÚTIL")</formula>
    </cfRule>
    <cfRule type="expression" dxfId="164" priority="38">
      <formula>$B2=""</formula>
    </cfRule>
  </conditionalFormatting>
  <conditionalFormatting sqref="M2:O32">
    <cfRule type="cellIs" dxfId="163" priority="9" operator="lessThan">
      <formula>0</formula>
    </cfRule>
    <cfRule type="cellIs" dxfId="162" priority="10" operator="greaterThan">
      <formula>0</formula>
    </cfRule>
  </conditionalFormatting>
  <conditionalFormatting sqref="O2:O32">
    <cfRule type="expression" dxfId="161" priority="5" stopIfTrue="1">
      <formula>IF(OR(TIPO_DE_PONTO="Comercial",$A2="Sexta"),$O2&gt;=TIMEVALUE("0:31"),$O2&gt;=TIMEVALUE("1:01"))</formula>
    </cfRule>
  </conditionalFormatting>
  <conditionalFormatting sqref="P2:P33">
    <cfRule type="cellIs" dxfId="160" priority="11" operator="greaterThan">
      <formula>0</formula>
    </cfRule>
  </conditionalFormatting>
  <conditionalFormatting sqref="Q36 W37">
    <cfRule type="cellIs" dxfId="159" priority="19" operator="greaterThanOrEqual">
      <formula>0</formula>
    </cfRule>
    <cfRule type="cellIs" dxfId="158" priority="20" operator="lessThan">
      <formula>0</formula>
    </cfRule>
  </conditionalFormatting>
  <conditionalFormatting sqref="Q2:S33">
    <cfRule type="cellIs" dxfId="157" priority="12" operator="greaterThan">
      <formula>0</formula>
    </cfRule>
  </conditionalFormatting>
  <conditionalFormatting sqref="S40">
    <cfRule type="cellIs" dxfId="156" priority="1" operator="lessThan">
      <formula>0</formula>
    </cfRule>
    <cfRule type="cellIs" dxfId="155" priority="2" operator="greaterThan">
      <formula>0</formula>
    </cfRule>
  </conditionalFormatting>
  <conditionalFormatting sqref="T2:T33">
    <cfRule type="cellIs" dxfId="154" priority="13" operator="greaterThan">
      <formula>0</formula>
    </cfRule>
  </conditionalFormatting>
  <conditionalFormatting sqref="U2:X32 U33 W33:X33">
    <cfRule type="cellIs" dxfId="153" priority="14" operator="greaterThan">
      <formula>0</formula>
    </cfRule>
  </conditionalFormatting>
  <conditionalFormatting sqref="V33">
    <cfRule type="cellIs" dxfId="152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70037-0AAC-45F0-BC80-D607B88A5702}">
  <sheetPr codeName="Planilha13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44439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44440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Quarta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44441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Quinta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44442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Sexta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44443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Sábado</v>
      </c>
      <c r="B7" s="34" t="str">
        <f ca="1">IF($C7="",
  "",
  IFERROR(VLOOKUP($C7,Calendario[],2,FALSE),
    IF(WEEKDAY($C7,2)&gt;5,
      "FIM DE SEMANA",
      "DIA ÚTIL")))</f>
        <v>FIM DE SEMANA</v>
      </c>
      <c r="C7" s="35">
        <f t="shared" ca="1" si="11"/>
        <v>44444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Domingo</v>
      </c>
      <c r="B8" s="34" t="str">
        <f ca="1">IF($C8="",
  "",
  IFERROR(VLOOKUP($C8,Calendario[],2,FALSE),
    IF(WEEKDAY($C8,2)&gt;5,
      "FIM DE SEMANA",
      "DIA ÚTIL")))</f>
        <v>FERIADO</v>
      </c>
      <c r="C8" s="35">
        <f t="shared" ca="1" si="11"/>
        <v>44445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>Independência do Brasil - Feriado Nacional</v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Segunda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44446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Terça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44447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Quarta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44448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Quinta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44449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Sexta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44450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Sábado</v>
      </c>
      <c r="B14" s="34" t="str">
        <f ca="1">IF($C14="",
  "",
  IFERROR(VLOOKUP($C14,Calendario[],2,FALSE),
    IF(WEEKDAY($C14,2)&gt;5,
      "FIM DE SEMANA",
      "DIA ÚTIL")))</f>
        <v>FIM DE SEMANA</v>
      </c>
      <c r="C14" s="35">
        <f t="shared" ca="1" si="11"/>
        <v>44451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Domingo</v>
      </c>
      <c r="B15" s="34" t="str">
        <f ca="1">IF($C15="",
  "",
  IFERROR(VLOOKUP($C15,Calendario[],2,FALSE),
    IF(WEEKDAY($C15,2)&gt;5,
      "FIM DE SEMANA",
      "DIA ÚTIL")))</f>
        <v>FIM DE SEMANA</v>
      </c>
      <c r="C15" s="35">
        <f t="shared" ca="1" si="11"/>
        <v>44452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Segunda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44453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Terça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44454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Quarta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44455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Quinta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44456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Sexta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44457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Sábado</v>
      </c>
      <c r="B21" s="34" t="str">
        <f ca="1">IF($C21="",
  "",
  IFERROR(VLOOKUP($C21,Calendario[],2,FALSE),
    IF(WEEKDAY($C21,2)&gt;5,
      "FIM DE SEMANA",
      "DIA ÚTIL")))</f>
        <v>FIM DE SEMANA</v>
      </c>
      <c r="C21" s="35">
        <f t="shared" ca="1" si="11"/>
        <v>44458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Domingo</v>
      </c>
      <c r="B22" s="34" t="str">
        <f ca="1">IF($C22="",
  "",
  IFERROR(VLOOKUP($C22,Calendario[],2,FALSE),
    IF(WEEKDAY($C22,2)&gt;5,
      "FIM DE SEMANA",
      "DIA ÚTIL")))</f>
        <v>FIM DE SEMANA</v>
      </c>
      <c r="C22" s="35">
        <f t="shared" ca="1" si="11"/>
        <v>44459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Segunda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44460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Terça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44461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Quarta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44462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Quinta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44463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Sexta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44464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Sábado</v>
      </c>
      <c r="B28" s="34" t="str">
        <f ca="1">IF($C28="",
  "",
  IFERROR(VLOOKUP($C28,Calendario[],2,FALSE),
    IF(WEEKDAY($C28,2)&gt;5,
      "FIM DE SEMANA",
      "DIA ÚTIL")))</f>
        <v>FIM DE SEMANA</v>
      </c>
      <c r="C28" s="35">
        <f t="shared" ca="1" si="11"/>
        <v>44465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Domingo</v>
      </c>
      <c r="B29" s="34" t="str">
        <f ca="1">IF($C29="",
  "",
  IFERROR(VLOOKUP($C29,Calendario[],2,FALSE),
    IF(WEEKDAY($C29,2)&gt;5,
      "FIM DE SEMANA",
      "DIA ÚTIL")))</f>
        <v>FIM DE SEMANA</v>
      </c>
      <c r="C29" s="35">
        <f t="shared" ca="1" si="11"/>
        <v>44466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Segunda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44467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6.5" thickBot="1" x14ac:dyDescent="0.3">
      <c r="A31" s="33" t="str">
        <f t="shared" ca="1" si="8"/>
        <v>Terça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44468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hidden="1" thickBot="1" x14ac:dyDescent="0.3">
      <c r="A32" s="81" t="str">
        <f t="shared" ca="1" si="8"/>
        <v/>
      </c>
      <c r="B32" s="149" t="str">
        <f ca="1">IF($C32="",
  "",
  IFERROR(VLOOKUP($C32,Calendario[],2,FALSE),
    IF(WEEKDAY($C32,2)&gt;5,
      "FIM DE SEMANA",
      "DIA ÚTIL")))</f>
        <v/>
      </c>
      <c r="C32" s="35" t="str">
        <f t="shared" ca="1" si="11"/>
        <v/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51" priority="21">
      <formula>$B2=FERIADO</formula>
    </cfRule>
    <cfRule type="expression" dxfId="150" priority="22">
      <formula>$B2=DISPENSADO</formula>
    </cfRule>
    <cfRule type="expression" dxfId="149" priority="23">
      <formula>$B2=FERIAS</formula>
    </cfRule>
    <cfRule type="expression" dxfId="148" priority="24">
      <formula>$B2=MEIO_COMPENSADO</formula>
    </cfRule>
    <cfRule type="expression" dxfId="147" priority="25">
      <formula>$B2=COMPENSADO</formula>
    </cfRule>
    <cfRule type="expression" dxfId="146" priority="26">
      <formula>$B2=EXPEDIENTE_CORRIDO</formula>
    </cfRule>
    <cfRule type="expression" dxfId="145" priority="27">
      <formula>$B2="FIM DE SEMANA"</formula>
    </cfRule>
    <cfRule type="expression" dxfId="144" priority="28">
      <formula>AND($B2="",ISBLANK($B3))</formula>
    </cfRule>
    <cfRule type="expression" dxfId="143" priority="29">
      <formula>AND($B2="",NOT(ISBLANK($B3)))</formula>
    </cfRule>
  </conditionalFormatting>
  <conditionalFormatting sqref="D2:G32 P2:X32">
    <cfRule type="cellIs" dxfId="142" priority="6" stopIfTrue="1" operator="lessThan">
      <formula>0</formula>
    </cfRule>
  </conditionalFormatting>
  <conditionalFormatting sqref="D2:G32">
    <cfRule type="expression" dxfId="141" priority="3" stopIfTrue="1">
      <formula>AND(NOT(ISBLANK(C2)),_xlfn.SINGLE($B:$B)=FERIAS)</formula>
    </cfRule>
    <cfRule type="notContainsBlanks" dxfId="140" priority="8">
      <formula>LEN(TRIM(D2))&gt;0</formula>
    </cfRule>
  </conditionalFormatting>
  <conditionalFormatting sqref="E2:F32">
    <cfRule type="expression" dxfId="139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138" priority="7" stopIfTrue="1">
      <formula>H2&lt;&gt;D2</formula>
    </cfRule>
  </conditionalFormatting>
  <conditionalFormatting sqref="L2:L32">
    <cfRule type="expression" dxfId="137" priority="15">
      <formula>OR(AND($L2=TIMEVALUE("8:00"),OR($B2="DIA ÚTIL",$B2=MEIO_COMPENSADO,$B2=COMPENSADO)),AND($L2&gt;=TIMEVALUE("6:00"),$L2&lt;=TIMEVALUE("8:00"),$B2=EXPEDIENTE_CORRIDO))</formula>
    </cfRule>
    <cfRule type="expression" dxfId="136" priority="16">
      <formula>OR($L2&gt;TIMEVALUE("8:00"),AND($L2&gt;TIMEVALUE("0:00"),OR($B2=FERIADO,$B2="FIM DE SEMANA",$B2=DISPENSADO)))</formula>
    </cfRule>
    <cfRule type="expression" dxfId="135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134" priority="30">
      <formula>AND(L2=0,$B2=FERIADO)</formula>
    </cfRule>
    <cfRule type="expression" dxfId="133" priority="31">
      <formula>AND(L2=0,$B2=DISPENSADO)</formula>
    </cfRule>
    <cfRule type="expression" dxfId="132" priority="32">
      <formula>AND(L2=0,$B2=FERIAS)</formula>
    </cfRule>
    <cfRule type="expression" dxfId="131" priority="33">
      <formula>AND(L2=0,$B2=MEIO_COMPENSADO)</formula>
    </cfRule>
    <cfRule type="expression" dxfId="130" priority="34">
      <formula>AND(L2=0,$B2=COMPENSADO)</formula>
    </cfRule>
    <cfRule type="expression" dxfId="129" priority="35">
      <formula>AND(L2=0,$B2=EXPEDIENTE_CORRIDO)</formula>
    </cfRule>
    <cfRule type="expression" dxfId="128" priority="36">
      <formula>AND(L2=0,$B2="FIM DE SEMANA")</formula>
    </cfRule>
    <cfRule type="expression" dxfId="127" priority="37">
      <formula>AND(L2=0,$B2="DIA ÚTIL")</formula>
    </cfRule>
    <cfRule type="expression" dxfId="126" priority="38">
      <formula>$B2=""</formula>
    </cfRule>
  </conditionalFormatting>
  <conditionalFormatting sqref="M2:O32">
    <cfRule type="cellIs" dxfId="125" priority="9" operator="lessThan">
      <formula>0</formula>
    </cfRule>
    <cfRule type="cellIs" dxfId="124" priority="10" operator="greaterThan">
      <formula>0</formula>
    </cfRule>
  </conditionalFormatting>
  <conditionalFormatting sqref="O2:O32">
    <cfRule type="expression" dxfId="123" priority="5" stopIfTrue="1">
      <formula>IF(OR(TIPO_DE_PONTO="Comercial",$A2="Sexta"),$O2&gt;=TIMEVALUE("0:31"),$O2&gt;=TIMEVALUE("1:01"))</formula>
    </cfRule>
  </conditionalFormatting>
  <conditionalFormatting sqref="P2:P33">
    <cfRule type="cellIs" dxfId="122" priority="11" operator="greaterThan">
      <formula>0</formula>
    </cfRule>
  </conditionalFormatting>
  <conditionalFormatting sqref="Q36 W37">
    <cfRule type="cellIs" dxfId="121" priority="19" operator="greaterThanOrEqual">
      <formula>0</formula>
    </cfRule>
    <cfRule type="cellIs" dxfId="120" priority="20" operator="lessThan">
      <formula>0</formula>
    </cfRule>
  </conditionalFormatting>
  <conditionalFormatting sqref="Q2:S33">
    <cfRule type="cellIs" dxfId="119" priority="12" operator="greaterThan">
      <formula>0</formula>
    </cfRule>
  </conditionalFormatting>
  <conditionalFormatting sqref="S40">
    <cfRule type="cellIs" dxfId="118" priority="1" operator="lessThan">
      <formula>0</formula>
    </cfRule>
    <cfRule type="cellIs" dxfId="117" priority="2" operator="greaterThan">
      <formula>0</formula>
    </cfRule>
  </conditionalFormatting>
  <conditionalFormatting sqref="T2:T33">
    <cfRule type="cellIs" dxfId="116" priority="13" operator="greaterThan">
      <formula>0</formula>
    </cfRule>
  </conditionalFormatting>
  <conditionalFormatting sqref="U2:X32 U33 W33:X33">
    <cfRule type="cellIs" dxfId="115" priority="14" operator="greaterThan">
      <formula>0</formula>
    </cfRule>
  </conditionalFormatting>
  <conditionalFormatting sqref="V33">
    <cfRule type="cellIs" dxfId="114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1B5E5-673A-4833-8AA0-64A5FDC20EFF}">
  <sheetPr codeName="Planilha14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44469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44470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Sexta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44471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Sábado</v>
      </c>
      <c r="B5" s="34" t="str">
        <f ca="1">IF($C5="",
  "",
  IFERROR(VLOOKUP($C5,Calendario[],2,FALSE),
    IF(WEEKDAY($C5,2)&gt;5,
      "FIM DE SEMANA",
      "DIA ÚTIL")))</f>
        <v>FIM DE SEMANA</v>
      </c>
      <c r="C5" s="35">
        <f t="shared" ca="1" si="11"/>
        <v>44472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Domingo</v>
      </c>
      <c r="B6" s="34" t="str">
        <f ca="1">IF($C6="",
  "",
  IFERROR(VLOOKUP($C6,Calendario[],2,FALSE),
    IF(WEEKDAY($C6,2)&gt;5,
      "FIM DE SEMANA",
      "DIA ÚTIL")))</f>
        <v>FIM DE SEMANA</v>
      </c>
      <c r="C6" s="35">
        <f t="shared" ca="1" si="11"/>
        <v>44473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Segunda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44474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Terça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44475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Quarta</v>
      </c>
      <c r="B9" s="34" t="str">
        <f ca="1">IF($C9="",
  "",
  IFERROR(VLOOKUP($C9,Calendario[],2,FALSE),
    IF(WEEKDAY($C9,2)&gt;5,
      "FIM DE SEMANA",
      "DIA ÚTIL")))</f>
        <v>DIA ÚTIL</v>
      </c>
      <c r="C9" s="35">
        <f t="shared" ca="1" si="11"/>
        <v>44476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Quinta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44477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Sexta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44478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Sábado</v>
      </c>
      <c r="B12" s="34" t="str">
        <f ca="1">IF($C12="",
  "",
  IFERROR(VLOOKUP($C12,Calendario[],2,FALSE),
    IF(WEEKDAY($C12,2)&gt;5,
      "FIM DE SEMANA",
      "DIA ÚTIL")))</f>
        <v>FIM DE SEMANA</v>
      </c>
      <c r="C12" s="35">
        <f t="shared" ca="1" si="11"/>
        <v>44479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Domingo</v>
      </c>
      <c r="B13" s="34" t="str">
        <f ca="1">IF($C13="",
  "",
  IFERROR(VLOOKUP($C13,Calendario[],2,FALSE),
    IF(WEEKDAY($C13,2)&gt;5,
      "FIM DE SEMANA",
      "DIA ÚTIL")))</f>
        <v>FERIADO</v>
      </c>
      <c r="C13" s="35">
        <f t="shared" ca="1" si="11"/>
        <v>44480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>Nossa Senhora Aparecida - Feriado Nacional</v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Segunda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44481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Terça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44482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Quarta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44483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Quinta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44484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Sexta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44485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Sábado</v>
      </c>
      <c r="B19" s="34" t="str">
        <f ca="1">IF($C19="",
  "",
  IFERROR(VLOOKUP($C19,Calendario[],2,FALSE),
    IF(WEEKDAY($C19,2)&gt;5,
      "FIM DE SEMANA",
      "DIA ÚTIL")))</f>
        <v>FIM DE SEMANA</v>
      </c>
      <c r="C19" s="35">
        <f t="shared" ca="1" si="11"/>
        <v>44486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Domingo</v>
      </c>
      <c r="B20" s="34" t="str">
        <f ca="1">IF($C20="",
  "",
  IFERROR(VLOOKUP($C20,Calendario[],2,FALSE),
    IF(WEEKDAY($C20,2)&gt;5,
      "FIM DE SEMANA",
      "DIA ÚTIL")))</f>
        <v>FIM DE SEMANA</v>
      </c>
      <c r="C20" s="35">
        <f t="shared" ca="1" si="11"/>
        <v>44487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Segunda</v>
      </c>
      <c r="B21" s="34" t="str">
        <f ca="1">IF($C21="",
  "",
  IFERROR(VLOOKUP($C21,Calendario[],2,FALSE),
    IF(WEEKDAY($C21,2)&gt;5,
      "FIM DE SEMANA",
      "DIA ÚTIL")))</f>
        <v>DIA ÚTIL</v>
      </c>
      <c r="C21" s="35">
        <f t="shared" ca="1" si="11"/>
        <v>44488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Terça</v>
      </c>
      <c r="B22" s="34" t="str">
        <f ca="1">IF($C22="",
  "",
  IFERROR(VLOOKUP($C22,Calendario[],2,FALSE),
    IF(WEEKDAY($C22,2)&gt;5,
      "FIM DE SEMANA",
      "DIA ÚTIL")))</f>
        <v>DIA ÚTIL</v>
      </c>
      <c r="C22" s="35">
        <f t="shared" ca="1" si="11"/>
        <v>44489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Quarta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44490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Quinta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44491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Sexta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44492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Sábado</v>
      </c>
      <c r="B26" s="34" t="str">
        <f ca="1">IF($C26="",
  "",
  IFERROR(VLOOKUP($C26,Calendario[],2,FALSE),
    IF(WEEKDAY($C26,2)&gt;5,
      "FIM DE SEMANA",
      "DIA ÚTIL")))</f>
        <v>FIM DE SEMANA</v>
      </c>
      <c r="C26" s="35">
        <f t="shared" ca="1" si="11"/>
        <v>44493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Domingo</v>
      </c>
      <c r="B27" s="34" t="str">
        <f ca="1">IF($C27="",
  "",
  IFERROR(VLOOKUP($C27,Calendario[],2,FALSE),
    IF(WEEKDAY($C27,2)&gt;5,
      "FIM DE SEMANA",
      "DIA ÚTIL")))</f>
        <v>FIM DE SEMANA</v>
      </c>
      <c r="C27" s="35">
        <f t="shared" ca="1" si="11"/>
        <v>44494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Segunda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44495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Terça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44496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Quarta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44497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Quinta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44498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Sexta</v>
      </c>
      <c r="B32" s="149" t="str">
        <f ca="1">IF($C32="",
  "",
  IFERROR(VLOOKUP($C32,Calendario[],2,FALSE),
    IF(WEEKDAY($C32,2)&gt;5,
      "FIM DE SEMANA",
      "DIA ÚTIL")))</f>
        <v>DIA ÚTIL</v>
      </c>
      <c r="C32" s="35">
        <f t="shared" ca="1" si="11"/>
        <v>44499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113" priority="21">
      <formula>$B2=FERIADO</formula>
    </cfRule>
    <cfRule type="expression" dxfId="112" priority="22">
      <formula>$B2=DISPENSADO</formula>
    </cfRule>
    <cfRule type="expression" dxfId="111" priority="23">
      <formula>$B2=FERIAS</formula>
    </cfRule>
    <cfRule type="expression" dxfId="110" priority="24">
      <formula>$B2=MEIO_COMPENSADO</formula>
    </cfRule>
    <cfRule type="expression" dxfId="109" priority="25">
      <formula>$B2=COMPENSADO</formula>
    </cfRule>
    <cfRule type="expression" dxfId="108" priority="26">
      <formula>$B2=EXPEDIENTE_CORRIDO</formula>
    </cfRule>
    <cfRule type="expression" dxfId="107" priority="27">
      <formula>$B2="FIM DE SEMANA"</formula>
    </cfRule>
    <cfRule type="expression" dxfId="106" priority="28">
      <formula>AND($B2="",ISBLANK($B3))</formula>
    </cfRule>
    <cfRule type="expression" dxfId="105" priority="29">
      <formula>AND($B2="",NOT(ISBLANK($B3)))</formula>
    </cfRule>
  </conditionalFormatting>
  <conditionalFormatting sqref="D2:G32 P2:X32">
    <cfRule type="cellIs" dxfId="104" priority="6" stopIfTrue="1" operator="lessThan">
      <formula>0</formula>
    </cfRule>
  </conditionalFormatting>
  <conditionalFormatting sqref="D2:G32">
    <cfRule type="expression" dxfId="103" priority="3" stopIfTrue="1">
      <formula>AND(NOT(ISBLANK(C2)),_xlfn.SINGLE($B:$B)=FERIAS)</formula>
    </cfRule>
    <cfRule type="notContainsBlanks" dxfId="102" priority="8">
      <formula>LEN(TRIM(D2))&gt;0</formula>
    </cfRule>
  </conditionalFormatting>
  <conditionalFormatting sqref="E2:F32">
    <cfRule type="expression" dxfId="101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100" priority="7" stopIfTrue="1">
      <formula>H2&lt;&gt;D2</formula>
    </cfRule>
  </conditionalFormatting>
  <conditionalFormatting sqref="L2:L32">
    <cfRule type="expression" dxfId="99" priority="15">
      <formula>OR(AND($L2=TIMEVALUE("8:00"),OR($B2="DIA ÚTIL",$B2=MEIO_COMPENSADO,$B2=COMPENSADO)),AND($L2&gt;=TIMEVALUE("6:00"),$L2&lt;=TIMEVALUE("8:00"),$B2=EXPEDIENTE_CORRIDO))</formula>
    </cfRule>
    <cfRule type="expression" dxfId="98" priority="16">
      <formula>OR($L2&gt;TIMEVALUE("8:00"),AND($L2&gt;TIMEVALUE("0:00"),OR($B2=FERIADO,$B2="FIM DE SEMANA",$B2=DISPENSADO)))</formula>
    </cfRule>
    <cfRule type="expression" dxfId="97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96" priority="30">
      <formula>AND(L2=0,$B2=FERIADO)</formula>
    </cfRule>
    <cfRule type="expression" dxfId="95" priority="31">
      <formula>AND(L2=0,$B2=DISPENSADO)</formula>
    </cfRule>
    <cfRule type="expression" dxfId="94" priority="32">
      <formula>AND(L2=0,$B2=FERIAS)</formula>
    </cfRule>
    <cfRule type="expression" dxfId="93" priority="33">
      <formula>AND(L2=0,$B2=MEIO_COMPENSADO)</formula>
    </cfRule>
    <cfRule type="expression" dxfId="92" priority="34">
      <formula>AND(L2=0,$B2=COMPENSADO)</formula>
    </cfRule>
    <cfRule type="expression" dxfId="91" priority="35">
      <formula>AND(L2=0,$B2=EXPEDIENTE_CORRIDO)</formula>
    </cfRule>
    <cfRule type="expression" dxfId="90" priority="36">
      <formula>AND(L2=0,$B2="FIM DE SEMANA")</formula>
    </cfRule>
    <cfRule type="expression" dxfId="89" priority="37">
      <formula>AND(L2=0,$B2="DIA ÚTIL")</formula>
    </cfRule>
    <cfRule type="expression" dxfId="88" priority="38">
      <formula>$B2=""</formula>
    </cfRule>
  </conditionalFormatting>
  <conditionalFormatting sqref="M2:O32">
    <cfRule type="cellIs" dxfId="87" priority="9" operator="lessThan">
      <formula>0</formula>
    </cfRule>
    <cfRule type="cellIs" dxfId="86" priority="10" operator="greaterThan">
      <formula>0</formula>
    </cfRule>
  </conditionalFormatting>
  <conditionalFormatting sqref="O2:O32">
    <cfRule type="expression" dxfId="85" priority="5" stopIfTrue="1">
      <formula>IF(OR(TIPO_DE_PONTO="Comercial",$A2="Sexta"),$O2&gt;=TIMEVALUE("0:31"),$O2&gt;=TIMEVALUE("1:01"))</formula>
    </cfRule>
  </conditionalFormatting>
  <conditionalFormatting sqref="P2:P33">
    <cfRule type="cellIs" dxfId="84" priority="11" operator="greaterThan">
      <formula>0</formula>
    </cfRule>
  </conditionalFormatting>
  <conditionalFormatting sqref="Q36 W37">
    <cfRule type="cellIs" dxfId="83" priority="19" operator="greaterThanOrEqual">
      <formula>0</formula>
    </cfRule>
    <cfRule type="cellIs" dxfId="82" priority="20" operator="lessThan">
      <formula>0</formula>
    </cfRule>
  </conditionalFormatting>
  <conditionalFormatting sqref="Q2:S33">
    <cfRule type="cellIs" dxfId="81" priority="12" operator="greaterThan">
      <formula>0</formula>
    </cfRule>
  </conditionalFormatting>
  <conditionalFormatting sqref="S40">
    <cfRule type="cellIs" dxfId="80" priority="1" operator="lessThan">
      <formula>0</formula>
    </cfRule>
    <cfRule type="cellIs" dxfId="79" priority="2" operator="greaterThan">
      <formula>0</formula>
    </cfRule>
  </conditionalFormatting>
  <conditionalFormatting sqref="T2:T33">
    <cfRule type="cellIs" dxfId="78" priority="13" operator="greaterThan">
      <formula>0</formula>
    </cfRule>
  </conditionalFormatting>
  <conditionalFormatting sqref="U2:X32 U33 W33:X33">
    <cfRule type="cellIs" dxfId="77" priority="14" operator="greaterThan">
      <formula>0</formula>
    </cfRule>
  </conditionalFormatting>
  <conditionalFormatting sqref="V33">
    <cfRule type="cellIs" dxfId="76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EB8BA-E4F1-49BB-9BB3-18CBB703034D}">
  <sheetPr codeName="Planilha15"/>
  <dimension ref="A1:BI156"/>
  <sheetViews>
    <sheetView zoomScale="85" zoomScaleNormal="85" workbookViewId="0">
      <pane ySplit="1" topLeftCell="A2" activePane="bottomLeft" state="frozen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"FIM DE SEMANA",
      "DIA ÚTIL")))</f>
        <v>FIM DE SEMANA</v>
      </c>
      <c r="C2" s="71">
        <f ca="1">DATE(ANO,MONTH(1&amp;RIGHT(CELL("filename",$C$2),3)),1)</f>
        <v>44500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"FIM DE SEMANA",
      "DIA ÚTIL")))</f>
        <v>FERIADO</v>
      </c>
      <c r="C3" s="35">
        <f ca="1">IF($C2="",
  "",
  IF(MONTH($C2+1)=MONTH($C2),
    $C2+1,
    ""))</f>
        <v>44501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>Finados - Feriado Nacional</v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Segunda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44502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Terça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44503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Quarta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44504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Quinta</v>
      </c>
      <c r="B7" s="34" t="str">
        <f ca="1">IF($C7="",
  "",
  IFERROR(VLOOKUP($C7,Calendario[],2,FALSE),
    IF(WEEKDAY($C7,2)&gt;5,
      "FIM DE SEMANA",
      "DIA ÚTIL")))</f>
        <v>DIA ÚTIL</v>
      </c>
      <c r="C7" s="35">
        <f t="shared" ca="1" si="11"/>
        <v>44505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Sexta</v>
      </c>
      <c r="B8" s="34" t="str">
        <f ca="1">IF($C8="",
  "",
  IFERROR(VLOOKUP($C8,Calendario[],2,FALSE),
    IF(WEEKDAY($C8,2)&gt;5,
      "FIM DE SEMANA",
      "DIA ÚTIL")))</f>
        <v>DIA ÚTIL</v>
      </c>
      <c r="C8" s="35">
        <f t="shared" ca="1" si="11"/>
        <v>44506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Sábado</v>
      </c>
      <c r="B9" s="34" t="str">
        <f ca="1">IF($C9="",
  "",
  IFERROR(VLOOKUP($C9,Calendario[],2,FALSE),
    IF(WEEKDAY($C9,2)&gt;5,
      "FIM DE SEMANA",
      "DIA ÚTIL")))</f>
        <v>FIM DE SEMANA</v>
      </c>
      <c r="C9" s="35">
        <f t="shared" ca="1" si="11"/>
        <v>44507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/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Domingo</v>
      </c>
      <c r="B10" s="34" t="str">
        <f ca="1">IF($C10="",
  "",
  IFERROR(VLOOKUP($C10,Calendario[],2,FALSE),
    IF(WEEKDAY($C10,2)&gt;5,
      "FIM DE SEMANA",
      "DIA ÚTIL")))</f>
        <v>FIM DE SEMANA</v>
      </c>
      <c r="C10" s="35">
        <f t="shared" ca="1" si="11"/>
        <v>44508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Segunda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44509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Terça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44510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Quarta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44511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Quinta</v>
      </c>
      <c r="B14" s="34" t="str">
        <f ca="1">IF($C14="",
  "",
  IFERROR(VLOOKUP($C14,Calendario[],2,FALSE),
    IF(WEEKDAY($C14,2)&gt;5,
      "FIM DE SEMANA",
      "DIA ÚTIL")))</f>
        <v>DIA ÚTIL</v>
      </c>
      <c r="C14" s="35">
        <f t="shared" ca="1" si="11"/>
        <v>44512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Sexta</v>
      </c>
      <c r="B15" s="34" t="str">
        <f ca="1">IF($C15="",
  "",
  IFERROR(VLOOKUP($C15,Calendario[],2,FALSE),
    IF(WEEKDAY($C15,2)&gt;5,
      "FIM DE SEMANA",
      "DIA ÚTIL")))</f>
        <v>DIA ÚTIL</v>
      </c>
      <c r="C15" s="35">
        <f t="shared" ca="1" si="11"/>
        <v>44513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Sábado</v>
      </c>
      <c r="B16" s="34" t="str">
        <f ca="1">IF($C16="",
  "",
  IFERROR(VLOOKUP($C16,Calendario[],2,FALSE),
    IF(WEEKDAY($C16,2)&gt;5,
      "FIM DE SEMANA",
      "DIA ÚTIL")))</f>
        <v>FERIADO</v>
      </c>
      <c r="C16" s="35">
        <f t="shared" ca="1" si="11"/>
        <v>44514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>Proclamação da República - Feriado Nacional</v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Domingo</v>
      </c>
      <c r="B17" s="34" t="str">
        <f ca="1">IF($C17="",
  "",
  IFERROR(VLOOKUP($C17,Calendario[],2,FALSE),
    IF(WEEKDAY($C17,2)&gt;5,
      "FIM DE SEMANA",
      "DIA ÚTIL")))</f>
        <v>FIM DE SEMANA</v>
      </c>
      <c r="C17" s="35">
        <f t="shared" ca="1" si="11"/>
        <v>44515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Segunda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44516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Terça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44517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Quarta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44518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Quinta</v>
      </c>
      <c r="B21" s="34" t="str">
        <f ca="1">IF($C21="",
  "",
  IFERROR(VLOOKUP($C21,Calendario[],2,FALSE),
    IF(WEEKDAY($C21,2)&gt;5,
      "FIM DE SEMANA",
      "DIA ÚTIL")))</f>
        <v>FERIADO</v>
      </c>
      <c r="C21" s="35">
        <f t="shared" ca="1" si="11"/>
        <v>44519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>Dia Nacional da Consciência Negra - Feriado Nacional</v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Sexta</v>
      </c>
      <c r="B22" s="34" t="str">
        <f ca="1">IF($C22="",
  "",
  IFERROR(VLOOKUP($C22,Calendario[],2,FALSE),
    IF(WEEKDAY($C22,2)&gt;5,
      "FIM DE SEMANA",
      "DIA ÚTIL")))</f>
        <v>COMPENSADO</v>
      </c>
      <c r="C22" s="35">
        <f t="shared" ca="1" si="11"/>
        <v>44520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>Dia Compensado Facultativo (Dia Normal)</v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Sábado</v>
      </c>
      <c r="B23" s="34" t="str">
        <f ca="1">IF($C23="",
  "",
  IFERROR(VLOOKUP($C23,Calendario[],2,FALSE),
    IF(WEEKDAY($C23,2)&gt;5,
      "FIM DE SEMANA",
      "DIA ÚTIL")))</f>
        <v>FIM DE SEMANA</v>
      </c>
      <c r="C23" s="35">
        <f t="shared" ca="1" si="11"/>
        <v>44521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Domingo</v>
      </c>
      <c r="B24" s="34" t="str">
        <f ca="1">IF($C24="",
  "",
  IFERROR(VLOOKUP($C24,Calendario[],2,FALSE),
    IF(WEEKDAY($C24,2)&gt;5,
      "FIM DE SEMANA",
      "DIA ÚTIL")))</f>
        <v>FIM DE SEMANA</v>
      </c>
      <c r="C24" s="35">
        <f t="shared" ca="1" si="11"/>
        <v>44522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Segunda</v>
      </c>
      <c r="B25" s="34" t="str">
        <f ca="1">IF($C25="",
  "",
  IFERROR(VLOOKUP($C25,Calendario[],2,FALSE),
    IF(WEEKDAY($C25,2)&gt;5,
      "FIM DE SEMANA",
      "DIA ÚTIL")))</f>
        <v>DIA ÚTIL</v>
      </c>
      <c r="C25" s="35">
        <f t="shared" ca="1" si="11"/>
        <v>44523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/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Terça</v>
      </c>
      <c r="B26" s="34" t="str">
        <f ca="1">IF($C26="",
  "",
  IFERROR(VLOOKUP($C26,Calendario[],2,FALSE),
    IF(WEEKDAY($C26,2)&gt;5,
      "FIM DE SEMANA",
      "DIA ÚTIL")))</f>
        <v>DIA ÚTIL</v>
      </c>
      <c r="C26" s="35">
        <f t="shared" ca="1" si="11"/>
        <v>44524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/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Quarta</v>
      </c>
      <c r="B27" s="34" t="str">
        <f ca="1">IF($C27="",
  "",
  IFERROR(VLOOKUP($C27,Calendario[],2,FALSE),
    IF(WEEKDAY($C27,2)&gt;5,
      "FIM DE SEMANA",
      "DIA ÚTIL")))</f>
        <v>DIA ÚTIL</v>
      </c>
      <c r="C27" s="35">
        <f t="shared" ca="1" si="11"/>
        <v>44525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/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Quinta</v>
      </c>
      <c r="B28" s="34" t="str">
        <f ca="1">IF($C28="",
  "",
  IFERROR(VLOOKUP($C28,Calendario[],2,FALSE),
    IF(WEEKDAY($C28,2)&gt;5,
      "FIM DE SEMANA",
      "DIA ÚTIL")))</f>
        <v>DIA ÚTIL</v>
      </c>
      <c r="C28" s="35">
        <f t="shared" ca="1" si="11"/>
        <v>44526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Sexta</v>
      </c>
      <c r="B29" s="34" t="str">
        <f ca="1">IF($C29="",
  "",
  IFERROR(VLOOKUP($C29,Calendario[],2,FALSE),
    IF(WEEKDAY($C29,2)&gt;5,
      "FIM DE SEMANA",
      "DIA ÚTIL")))</f>
        <v>DIA ÚTIL</v>
      </c>
      <c r="C29" s="35">
        <f t="shared" ca="1" si="11"/>
        <v>44527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Sábado</v>
      </c>
      <c r="B30" s="34" t="str">
        <f ca="1">IF($C30="",
  "",
  IFERROR(VLOOKUP($C30,Calendario[],2,FALSE),
    IF(WEEKDAY($C30,2)&gt;5,
      "FIM DE SEMANA",
      "DIA ÚTIL")))</f>
        <v>FIM DE SEMANA</v>
      </c>
      <c r="C30" s="35">
        <f t="shared" ca="1" si="11"/>
        <v>44528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6.5" thickBot="1" x14ac:dyDescent="0.3">
      <c r="A31" s="33" t="str">
        <f t="shared" ca="1" si="8"/>
        <v>Domingo</v>
      </c>
      <c r="B31" s="34" t="str">
        <f ca="1">IF($C31="",
  "",
  IFERROR(VLOOKUP($C31,Calendario[],2,FALSE),
    IF(WEEKDAY($C31,2)&gt;5,
      "FIM DE SEMANA",
      "DIA ÚTIL")))</f>
        <v>FIM DE SEMANA</v>
      </c>
      <c r="C31" s="35">
        <f t="shared" ca="1" si="11"/>
        <v>44529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hidden="1" thickBot="1" x14ac:dyDescent="0.3">
      <c r="A32" s="81" t="str">
        <f t="shared" ca="1" si="8"/>
        <v/>
      </c>
      <c r="B32" s="149" t="str">
        <f ca="1">IF($C32="",
  "",
  IFERROR(VLOOKUP($C32,Calendario[],2,FALSE),
    IF(WEEKDAY($C32,2)&gt;5,
      "FIM DE SEMANA",
      "DIA ÚTIL")))</f>
        <v/>
      </c>
      <c r="C32" s="35" t="str">
        <f t="shared" ca="1" si="11"/>
        <v/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/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75" priority="21">
      <formula>$B2=FERIADO</formula>
    </cfRule>
    <cfRule type="expression" dxfId="74" priority="22">
      <formula>$B2=DISPENSADO</formula>
    </cfRule>
    <cfRule type="expression" dxfId="73" priority="23">
      <formula>$B2=FERIAS</formula>
    </cfRule>
    <cfRule type="expression" dxfId="72" priority="24">
      <formula>$B2=MEIO_COMPENSADO</formula>
    </cfRule>
    <cfRule type="expression" dxfId="71" priority="25">
      <formula>$B2=COMPENSADO</formula>
    </cfRule>
    <cfRule type="expression" dxfId="70" priority="26">
      <formula>$B2=EXPEDIENTE_CORRIDO</formula>
    </cfRule>
    <cfRule type="expression" dxfId="69" priority="27">
      <formula>$B2="FIM DE SEMANA"</formula>
    </cfRule>
    <cfRule type="expression" dxfId="68" priority="28">
      <formula>AND($B2="",ISBLANK($B3))</formula>
    </cfRule>
    <cfRule type="expression" dxfId="67" priority="29">
      <formula>AND($B2="",NOT(ISBLANK($B3)))</formula>
    </cfRule>
  </conditionalFormatting>
  <conditionalFormatting sqref="D2:G32 P2:X32">
    <cfRule type="cellIs" dxfId="66" priority="6" stopIfTrue="1" operator="lessThan">
      <formula>0</formula>
    </cfRule>
  </conditionalFormatting>
  <conditionalFormatting sqref="D2:G32">
    <cfRule type="expression" dxfId="65" priority="3" stopIfTrue="1">
      <formula>AND(NOT(ISBLANK(C2)),_xlfn.SINGLE($B:$B)=FERIAS)</formula>
    </cfRule>
    <cfRule type="notContainsBlanks" dxfId="64" priority="8">
      <formula>LEN(TRIM(D2))&gt;0</formula>
    </cfRule>
  </conditionalFormatting>
  <conditionalFormatting sqref="E2:F32">
    <cfRule type="expression" dxfId="63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62" priority="7" stopIfTrue="1">
      <formula>H2&lt;&gt;D2</formula>
    </cfRule>
  </conditionalFormatting>
  <conditionalFormatting sqref="L2:L32">
    <cfRule type="expression" dxfId="61" priority="15">
      <formula>OR(AND($L2=TIMEVALUE("8:00"),OR($B2="DIA ÚTIL",$B2=MEIO_COMPENSADO,$B2=COMPENSADO)),AND($L2&gt;=TIMEVALUE("6:00"),$L2&lt;=TIMEVALUE("8:00"),$B2=EXPEDIENTE_CORRIDO))</formula>
    </cfRule>
    <cfRule type="expression" dxfId="60" priority="16">
      <formula>OR($L2&gt;TIMEVALUE("8:00"),AND($L2&gt;TIMEVALUE("0:00"),OR($B2=FERIADO,$B2="FIM DE SEMANA",$B2=DISPENSADO)))</formula>
    </cfRule>
    <cfRule type="expression" dxfId="59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58" priority="30">
      <formula>AND(L2=0,$B2=FERIADO)</formula>
    </cfRule>
    <cfRule type="expression" dxfId="57" priority="31">
      <formula>AND(L2=0,$B2=DISPENSADO)</formula>
    </cfRule>
    <cfRule type="expression" dxfId="56" priority="32">
      <formula>AND(L2=0,$B2=FERIAS)</formula>
    </cfRule>
    <cfRule type="expression" dxfId="55" priority="33">
      <formula>AND(L2=0,$B2=MEIO_COMPENSADO)</formula>
    </cfRule>
    <cfRule type="expression" dxfId="54" priority="34">
      <formula>AND(L2=0,$B2=COMPENSADO)</formula>
    </cfRule>
    <cfRule type="expression" dxfId="53" priority="35">
      <formula>AND(L2=0,$B2=EXPEDIENTE_CORRIDO)</formula>
    </cfRule>
    <cfRule type="expression" dxfId="52" priority="36">
      <formula>AND(L2=0,$B2="FIM DE SEMANA")</formula>
    </cfRule>
    <cfRule type="expression" dxfId="51" priority="37">
      <formula>AND(L2=0,$B2="DIA ÚTIL")</formula>
    </cfRule>
    <cfRule type="expression" dxfId="50" priority="38">
      <formula>$B2=""</formula>
    </cfRule>
  </conditionalFormatting>
  <conditionalFormatting sqref="M2:O32">
    <cfRule type="cellIs" dxfId="49" priority="9" operator="lessThan">
      <formula>0</formula>
    </cfRule>
    <cfRule type="cellIs" dxfId="48" priority="10" operator="greaterThan">
      <formula>0</formula>
    </cfRule>
  </conditionalFormatting>
  <conditionalFormatting sqref="O2:O32">
    <cfRule type="expression" dxfId="47" priority="5" stopIfTrue="1">
      <formula>IF(OR(TIPO_DE_PONTO="Comercial",$A2="Sexta"),$O2&gt;=TIMEVALUE("0:31"),$O2&gt;=TIMEVALUE("1:01"))</formula>
    </cfRule>
  </conditionalFormatting>
  <conditionalFormatting sqref="P2:P33">
    <cfRule type="cellIs" dxfId="46" priority="11" operator="greaterThan">
      <formula>0</formula>
    </cfRule>
  </conditionalFormatting>
  <conditionalFormatting sqref="Q36 W37">
    <cfRule type="cellIs" dxfId="45" priority="19" operator="greaterThanOrEqual">
      <formula>0</formula>
    </cfRule>
    <cfRule type="cellIs" dxfId="44" priority="20" operator="lessThan">
      <formula>0</formula>
    </cfRule>
  </conditionalFormatting>
  <conditionalFormatting sqref="Q2:S33">
    <cfRule type="cellIs" dxfId="43" priority="12" operator="greaterThan">
      <formula>0</formula>
    </cfRule>
  </conditionalFormatting>
  <conditionalFormatting sqref="S40">
    <cfRule type="cellIs" dxfId="42" priority="1" operator="lessThan">
      <formula>0</formula>
    </cfRule>
    <cfRule type="cellIs" dxfId="41" priority="2" operator="greaterThan">
      <formula>0</formula>
    </cfRule>
  </conditionalFormatting>
  <conditionalFormatting sqref="T2:T33">
    <cfRule type="cellIs" dxfId="40" priority="13" operator="greaterThan">
      <formula>0</formula>
    </cfRule>
  </conditionalFormatting>
  <conditionalFormatting sqref="U2:X32 U33 W33:X33">
    <cfRule type="cellIs" dxfId="39" priority="14" operator="greaterThan">
      <formula>0</formula>
    </cfRule>
  </conditionalFormatting>
  <conditionalFormatting sqref="V33">
    <cfRule type="cellIs" dxfId="38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602C-A0D2-4EB1-88C0-07EFC3C641A4}">
  <sheetPr codeName="Planilha16"/>
  <dimension ref="A1:BI156"/>
  <sheetViews>
    <sheetView zoomScale="85" zoomScaleNormal="85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0</v>
      </c>
      <c r="B1" s="54" t="s">
        <v>30</v>
      </c>
      <c r="C1" s="55" t="s">
        <v>1</v>
      </c>
      <c r="D1" s="56" t="s">
        <v>2</v>
      </c>
      <c r="E1" s="57" t="s">
        <v>19</v>
      </c>
      <c r="F1" s="57" t="s">
        <v>3</v>
      </c>
      <c r="G1" s="58" t="s">
        <v>4</v>
      </c>
      <c r="H1" s="59" t="s">
        <v>34</v>
      </c>
      <c r="I1" s="60" t="s">
        <v>36</v>
      </c>
      <c r="J1" s="60" t="s">
        <v>37</v>
      </c>
      <c r="K1" s="61" t="s">
        <v>35</v>
      </c>
      <c r="L1" s="62" t="s">
        <v>158</v>
      </c>
      <c r="M1" s="63" t="s">
        <v>5</v>
      </c>
      <c r="N1" s="63" t="s">
        <v>6</v>
      </c>
      <c r="O1" s="64" t="s">
        <v>42</v>
      </c>
      <c r="P1" s="65" t="s">
        <v>7</v>
      </c>
      <c r="Q1" s="66" t="s">
        <v>100</v>
      </c>
      <c r="R1" s="66" t="s">
        <v>86</v>
      </c>
      <c r="S1" s="67" t="s">
        <v>87</v>
      </c>
      <c r="T1" s="68" t="s">
        <v>8</v>
      </c>
      <c r="U1" s="82" t="s">
        <v>91</v>
      </c>
      <c r="V1" s="82" t="s">
        <v>90</v>
      </c>
      <c r="W1" s="82" t="s">
        <v>89</v>
      </c>
      <c r="X1" s="83" t="s">
        <v>88</v>
      </c>
      <c r="Y1" s="288" t="s">
        <v>121</v>
      </c>
      <c r="Z1" s="289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"FIM DE SEMANA",
      "DIA ÚTIL")))</f>
        <v>DIA ÚTIL</v>
      </c>
      <c r="C2" s="71">
        <f ca="1">DATE(ANO,MONTH(1&amp;RIGHT(CELL("filename",$C$2),3)),1)</f>
        <v>44530</v>
      </c>
      <c r="D2" s="217"/>
      <c r="E2" s="218"/>
      <c r="F2" s="218"/>
      <c r="G2" s="219"/>
      <c r="H2" s="47">
        <f t="shared" ref="H2:H32" ca="1" si="0">IF(OR($B:$B="FIM DE SEMANA",$B:$B=FERIADO),
      D2,
      IF(AND(TIPO_DE_PONTO="Construção",$A:$A="Sexta"),
           IF(AND(D2&gt;="6:30"+0,D2&lt;="7:05"+0),TIMEVALUE("7:00"),D2),
           IF(AND(D2&gt;="7:00"+0,D2&lt;="7:35"+0),TIMEVALUE("7:30"),D2)))</f>
        <v>0</v>
      </c>
      <c r="I2" s="48">
        <f t="shared" ref="I2:I32" ca="1" si="1">IF(OR(AND(ISBLANK($E2),ISBLANK($F2)),$B:$B=FERIADO,$B:$B="FIM DE SEMANA",($F2-$E2)&gt;=TRUNC("1:00",6)),
  E2,
  "12:00")</f>
        <v>0</v>
      </c>
      <c r="J2" s="48">
        <f t="shared" ref="J2:J32" ca="1" si="2">IF(OR(AND(ISBLANK($E2),ISBLANK($F2)),$B:$B=FERIADO,$B:$B="FIM DE SEMANA",($F2-$E2)&gt;=TRUNC("1:00",6)),
  F2,
  "13:00")</f>
        <v>0</v>
      </c>
      <c r="K2" s="49">
        <f t="shared" ref="K2:K32" ca="1" si="3">IF(OR($B:$B="FIM DE SEMANA",$B:$B=FERIADO),
      G2,
      IF(TIPO_DE_PONTO="Comercial",
          IF(AND(G2&gt;="16:55"+0,G2&lt;="17:00"+0),TIMEVALUE("17:00"),G2),
          IF(AND(TIPO_DE_PONTO="Construção",$A:$A="Sexta"),
               IF(AND(G2&gt;="16:25"+0,G2&lt;="16:30"+0),TIMEVALUE("16:30"),G2),
               IF(AND(G2&gt;="17:25"+0,G2&lt;="17:30"+0),TIMEVALUE("17:30"),G2))))</f>
        <v>0</v>
      </c>
      <c r="L2" s="73">
        <f ca="1">(I2-H2)+(K2-J2)</f>
        <v>0</v>
      </c>
      <c r="M2" s="74">
        <f t="shared" ref="M2:M32" ca="1" si="4">IF(OR(L2=0,$B:$B="FIM DE SEMANA",$B:$B=FERIADO),
       0,
       IF(AND(TIPO_DE_PONTO="Construção",$A:$A="Sexta"),
           "7:00"-H2,
           "7:30"-H2))</f>
        <v>0</v>
      </c>
      <c r="N2" s="74">
        <f t="shared" ref="N2:N32" ca="1" si="5">IF(OR(L2=0,$B:$B="FIM DE SEMANA",$B:$B=FERIADO),
   0,
   IF(TIPO_DE_PONTO="Comercial",
     IF(AND($B:$B=EXPEDIENTE_CORRIDO,$K2&lt;TIMEVALUE("17:00")),
       IF($K2&lt;TIMEVALUE("13:30"),
         TRUNC($K2-"13:30",6),
         0),
       TRUNC($K2-"17:00",6)),
     IF(AND(TIPO_DE_PONTO="Construção",$A:$A="Sexta"),
       IF(AND($B:$B=EXPEDIENTE_CORRIDO,$K2&lt;TIMEVALUE("16:30")),
         IF($K2&lt;TIMEVALUE("13:30"),
           TRUNC($K2-"13:00",6),
           0),
         TRUNC($K2-"16:30",6)),
       IF(AND($B:$B=EXPEDIENTE_CORRIDO,$K2&lt;TIMEVALUE("17:30")),
         IF($K2&lt;TIMEVALUE("13:30"),
           TRUNC($K2-"13:30",6),
           0),
         TRUNC($K2-"17:30",6)))))</f>
        <v>0</v>
      </c>
      <c r="O2" s="40">
        <f t="shared" ref="O2:O32" ca="1" si="6">IF(OR(L2=0,$B:$B="FIM DE SEMANA",$B:$B=FERIADO),
       0,
       IF(AND($B:$B=EXPEDIENTE_CORRIDO,AND(I2=0,J2=0)),
         0,
         IF(AND(TIPO_DE_PONTO="Construção",$A:$A&lt;&gt;"Sexta"),
           "02:00"-(J2-I2),
           "01:30"-(J2-I2))))</f>
        <v>0</v>
      </c>
      <c r="P2" s="75">
        <f ca="1">IF(L2=0,
      0,
      TRUNC((-1)*SUMIF(M2:O2,"&lt;0")-Q2-R2-S2,6))</f>
        <v>0</v>
      </c>
      <c r="Q2" s="228"/>
      <c r="R2" s="229"/>
      <c r="S2" s="230"/>
      <c r="T2" s="75">
        <f t="shared" ref="T2:T32" ca="1" si="7">IF(OR($B:$B="FIM DE SEMANA",$B:$B=FERIADO),
       TRUNC(L2-U2-V2-W2-X2,6),
       TRUNC(SUMIF(M2:O2,"&gt;0")-U2-V2-W2-X2,6))</f>
        <v>0</v>
      </c>
      <c r="U2" s="229"/>
      <c r="V2" s="229"/>
      <c r="W2" s="237"/>
      <c r="X2" s="238"/>
      <c r="Y2" s="189" t="str">
        <f ca="1">IFERROR(VLOOKUP($C2,Calendario[],3,FALSE),"")</f>
        <v/>
      </c>
      <c r="Z2" s="242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8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"FIM DE SEMANA",
      "DIA ÚTIL")))</f>
        <v>DIA ÚTIL</v>
      </c>
      <c r="C3" s="35">
        <f ca="1">IF($C2="",
  "",
  IF(MONTH($C2+1)=MONTH($C2),
    $C2+1,
    ""))</f>
        <v>44531</v>
      </c>
      <c r="D3" s="220"/>
      <c r="E3" s="221"/>
      <c r="F3" s="221"/>
      <c r="G3" s="222"/>
      <c r="H3" s="161">
        <f t="shared" ca="1" si="0"/>
        <v>0</v>
      </c>
      <c r="I3" s="141">
        <f t="shared" ca="1" si="1"/>
        <v>0</v>
      </c>
      <c r="J3" s="141">
        <f t="shared" ca="1" si="2"/>
        <v>0</v>
      </c>
      <c r="K3" s="170">
        <f t="shared" ca="1" si="3"/>
        <v>0</v>
      </c>
      <c r="L3" s="163">
        <f t="shared" ref="L3:L32" ca="1" si="9">(I3-H3)+(K3-J3)</f>
        <v>0</v>
      </c>
      <c r="M3" s="142">
        <f t="shared" ca="1" si="4"/>
        <v>0</v>
      </c>
      <c r="N3" s="142">
        <f t="shared" ca="1" si="5"/>
        <v>0</v>
      </c>
      <c r="O3" s="172">
        <f t="shared" ca="1" si="6"/>
        <v>0</v>
      </c>
      <c r="P3" s="80">
        <f t="shared" ref="P3:P32" ca="1" si="10">IF(L3=0,
      0,
      TRUNC((-1)*SUMIF(M3:O3,"&lt;0")-Q3-R3-S3,6))</f>
        <v>0</v>
      </c>
      <c r="Q3" s="231"/>
      <c r="R3" s="229"/>
      <c r="S3" s="232"/>
      <c r="T3" s="80">
        <f t="shared" ca="1" si="7"/>
        <v>0</v>
      </c>
      <c r="U3" s="233"/>
      <c r="V3" s="233"/>
      <c r="W3" s="233"/>
      <c r="X3" s="232"/>
      <c r="Y3" s="190" t="str">
        <f ca="1">IFERROR(VLOOKUP($C3,Calendario[],3,FALSE),"")</f>
        <v/>
      </c>
      <c r="Z3" s="243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8"/>
        <v>Quarta</v>
      </c>
      <c r="B4" s="34" t="str">
        <f ca="1">IF($C4="",
  "",
  IFERROR(VLOOKUP($C4,Calendario[],2,FALSE),
    IF(WEEKDAY($C4,2)&gt;5,
      "FIM DE SEMANA",
      "DIA ÚTIL")))</f>
        <v>DIA ÚTIL</v>
      </c>
      <c r="C4" s="35">
        <f t="shared" ref="C4:C32" ca="1" si="11">IF($C3="",
  "",
  IF(MONTH($C3+1)=MONTH($C3),
    $C3+1,
    ""))</f>
        <v>44532</v>
      </c>
      <c r="D4" s="220"/>
      <c r="E4" s="221"/>
      <c r="F4" s="221"/>
      <c r="G4" s="222"/>
      <c r="H4" s="161">
        <f t="shared" ca="1" si="0"/>
        <v>0</v>
      </c>
      <c r="I4" s="141">
        <f t="shared" ca="1" si="1"/>
        <v>0</v>
      </c>
      <c r="J4" s="141">
        <f t="shared" ca="1" si="2"/>
        <v>0</v>
      </c>
      <c r="K4" s="170">
        <f t="shared" ca="1" si="3"/>
        <v>0</v>
      </c>
      <c r="L4" s="163">
        <f t="shared" ca="1" si="9"/>
        <v>0</v>
      </c>
      <c r="M4" s="142">
        <f t="shared" ca="1" si="4"/>
        <v>0</v>
      </c>
      <c r="N4" s="142">
        <f t="shared" ca="1" si="5"/>
        <v>0</v>
      </c>
      <c r="O4" s="172">
        <f t="shared" ca="1" si="6"/>
        <v>0</v>
      </c>
      <c r="P4" s="80">
        <f t="shared" ca="1" si="10"/>
        <v>0</v>
      </c>
      <c r="Q4" s="231"/>
      <c r="R4" s="233"/>
      <c r="S4" s="232"/>
      <c r="T4" s="80">
        <f t="shared" ca="1" si="7"/>
        <v>0</v>
      </c>
      <c r="U4" s="233"/>
      <c r="V4" s="233"/>
      <c r="W4" s="239"/>
      <c r="X4" s="240"/>
      <c r="Y4" s="190" t="str">
        <f ca="1">IFERROR(VLOOKUP($C4,Calendario[],3,FALSE),"")</f>
        <v/>
      </c>
      <c r="Z4" s="244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8"/>
        <v>Quinta</v>
      </c>
      <c r="B5" s="34" t="str">
        <f ca="1">IF($C5="",
  "",
  IFERROR(VLOOKUP($C5,Calendario[],2,FALSE),
    IF(WEEKDAY($C5,2)&gt;5,
      "FIM DE SEMANA",
      "DIA ÚTIL")))</f>
        <v>DIA ÚTIL</v>
      </c>
      <c r="C5" s="35">
        <f t="shared" ca="1" si="11"/>
        <v>44533</v>
      </c>
      <c r="D5" s="220"/>
      <c r="E5" s="221"/>
      <c r="F5" s="221"/>
      <c r="G5" s="222"/>
      <c r="H5" s="161">
        <f t="shared" ca="1" si="0"/>
        <v>0</v>
      </c>
      <c r="I5" s="141">
        <f t="shared" ca="1" si="1"/>
        <v>0</v>
      </c>
      <c r="J5" s="141">
        <f t="shared" ca="1" si="2"/>
        <v>0</v>
      </c>
      <c r="K5" s="170">
        <f t="shared" ca="1" si="3"/>
        <v>0</v>
      </c>
      <c r="L5" s="163">
        <f t="shared" ca="1" si="9"/>
        <v>0</v>
      </c>
      <c r="M5" s="142">
        <f t="shared" ca="1" si="4"/>
        <v>0</v>
      </c>
      <c r="N5" s="142">
        <f t="shared" ca="1" si="5"/>
        <v>0</v>
      </c>
      <c r="O5" s="172">
        <f t="shared" ca="1" si="6"/>
        <v>0</v>
      </c>
      <c r="P5" s="80">
        <f t="shared" ca="1" si="10"/>
        <v>0</v>
      </c>
      <c r="Q5" s="231"/>
      <c r="R5" s="233"/>
      <c r="S5" s="232"/>
      <c r="T5" s="80">
        <f t="shared" ca="1" si="7"/>
        <v>0</v>
      </c>
      <c r="U5" s="233"/>
      <c r="V5" s="233"/>
      <c r="W5" s="233"/>
      <c r="X5" s="232"/>
      <c r="Y5" s="190" t="str">
        <f ca="1">IFERROR(VLOOKUP($C5,Calendario[],3,FALSE),"")</f>
        <v/>
      </c>
      <c r="Z5" s="244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8"/>
        <v>Sexta</v>
      </c>
      <c r="B6" s="34" t="str">
        <f ca="1">IF($C6="",
  "",
  IFERROR(VLOOKUP($C6,Calendario[],2,FALSE),
    IF(WEEKDAY($C6,2)&gt;5,
      "FIM DE SEMANA",
      "DIA ÚTIL")))</f>
        <v>DIA ÚTIL</v>
      </c>
      <c r="C6" s="35">
        <f t="shared" ca="1" si="11"/>
        <v>44534</v>
      </c>
      <c r="D6" s="220"/>
      <c r="E6" s="221"/>
      <c r="F6" s="221"/>
      <c r="G6" s="222"/>
      <c r="H6" s="161">
        <f t="shared" ca="1" si="0"/>
        <v>0</v>
      </c>
      <c r="I6" s="141">
        <f t="shared" ca="1" si="1"/>
        <v>0</v>
      </c>
      <c r="J6" s="141">
        <f t="shared" ca="1" si="2"/>
        <v>0</v>
      </c>
      <c r="K6" s="170">
        <f t="shared" ca="1" si="3"/>
        <v>0</v>
      </c>
      <c r="L6" s="163">
        <f t="shared" ca="1" si="9"/>
        <v>0</v>
      </c>
      <c r="M6" s="142">
        <f t="shared" ca="1" si="4"/>
        <v>0</v>
      </c>
      <c r="N6" s="142">
        <f t="shared" ca="1" si="5"/>
        <v>0</v>
      </c>
      <c r="O6" s="172">
        <f t="shared" ca="1" si="6"/>
        <v>0</v>
      </c>
      <c r="P6" s="80">
        <f t="shared" ca="1" si="10"/>
        <v>0</v>
      </c>
      <c r="Q6" s="231"/>
      <c r="R6" s="233"/>
      <c r="S6" s="232"/>
      <c r="T6" s="80">
        <f t="shared" ca="1" si="7"/>
        <v>0</v>
      </c>
      <c r="U6" s="233"/>
      <c r="V6" s="233"/>
      <c r="W6" s="233"/>
      <c r="X6" s="232"/>
      <c r="Y6" s="190" t="str">
        <f ca="1">IFERROR(VLOOKUP($C6,Calendario[],3,FALSE),"")</f>
        <v/>
      </c>
      <c r="Z6" s="244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8"/>
        <v>Sábado</v>
      </c>
      <c r="B7" s="34" t="str">
        <f ca="1">IF($C7="",
  "",
  IFERROR(VLOOKUP($C7,Calendario[],2,FALSE),
    IF(WEEKDAY($C7,2)&gt;5,
      "FIM DE SEMANA",
      "DIA ÚTIL")))</f>
        <v>FIM DE SEMANA</v>
      </c>
      <c r="C7" s="35">
        <f t="shared" ca="1" si="11"/>
        <v>44535</v>
      </c>
      <c r="D7" s="220"/>
      <c r="E7" s="221"/>
      <c r="F7" s="221"/>
      <c r="G7" s="222"/>
      <c r="H7" s="161">
        <f t="shared" ca="1" si="0"/>
        <v>0</v>
      </c>
      <c r="I7" s="141">
        <f t="shared" ca="1" si="1"/>
        <v>0</v>
      </c>
      <c r="J7" s="141">
        <f t="shared" ca="1" si="2"/>
        <v>0</v>
      </c>
      <c r="K7" s="170">
        <f t="shared" ca="1" si="3"/>
        <v>0</v>
      </c>
      <c r="L7" s="163">
        <f t="shared" ca="1" si="9"/>
        <v>0</v>
      </c>
      <c r="M7" s="142">
        <f t="shared" ca="1" si="4"/>
        <v>0</v>
      </c>
      <c r="N7" s="142">
        <f t="shared" ca="1" si="5"/>
        <v>0</v>
      </c>
      <c r="O7" s="172">
        <f t="shared" ca="1" si="6"/>
        <v>0</v>
      </c>
      <c r="P7" s="80">
        <f t="shared" ca="1" si="10"/>
        <v>0</v>
      </c>
      <c r="Q7" s="231"/>
      <c r="R7" s="233"/>
      <c r="S7" s="232"/>
      <c r="T7" s="80">
        <f t="shared" ca="1" si="7"/>
        <v>0</v>
      </c>
      <c r="U7" s="233"/>
      <c r="V7" s="233"/>
      <c r="W7" s="233"/>
      <c r="X7" s="232"/>
      <c r="Y7" s="190" t="str">
        <f ca="1">IFERROR(VLOOKUP($C7,Calendario[],3,FALSE),"")</f>
        <v/>
      </c>
      <c r="Z7" s="244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8"/>
        <v>Domingo</v>
      </c>
      <c r="B8" s="34" t="str">
        <f ca="1">IF($C8="",
  "",
  IFERROR(VLOOKUP($C8,Calendario[],2,FALSE),
    IF(WEEKDAY($C8,2)&gt;5,
      "FIM DE SEMANA",
      "DIA ÚTIL")))</f>
        <v>FIM DE SEMANA</v>
      </c>
      <c r="C8" s="35">
        <f t="shared" ca="1" si="11"/>
        <v>44536</v>
      </c>
      <c r="D8" s="220"/>
      <c r="E8" s="221"/>
      <c r="F8" s="221"/>
      <c r="G8" s="222"/>
      <c r="H8" s="161">
        <f t="shared" ca="1" si="0"/>
        <v>0</v>
      </c>
      <c r="I8" s="141">
        <f t="shared" ca="1" si="1"/>
        <v>0</v>
      </c>
      <c r="J8" s="141">
        <f t="shared" ca="1" si="2"/>
        <v>0</v>
      </c>
      <c r="K8" s="170">
        <f t="shared" ca="1" si="3"/>
        <v>0</v>
      </c>
      <c r="L8" s="163">
        <f t="shared" ca="1" si="9"/>
        <v>0</v>
      </c>
      <c r="M8" s="142">
        <f t="shared" ca="1" si="4"/>
        <v>0</v>
      </c>
      <c r="N8" s="142">
        <f t="shared" ca="1" si="5"/>
        <v>0</v>
      </c>
      <c r="O8" s="172">
        <f t="shared" ca="1" si="6"/>
        <v>0</v>
      </c>
      <c r="P8" s="80">
        <f t="shared" ca="1" si="10"/>
        <v>0</v>
      </c>
      <c r="Q8" s="231"/>
      <c r="R8" s="233"/>
      <c r="S8" s="232"/>
      <c r="T8" s="80">
        <f t="shared" ca="1" si="7"/>
        <v>0</v>
      </c>
      <c r="U8" s="233"/>
      <c r="V8" s="233"/>
      <c r="W8" s="239"/>
      <c r="X8" s="240"/>
      <c r="Y8" s="190" t="str">
        <f ca="1">IFERROR(VLOOKUP($C8,Calendario[],3,FALSE),"")</f>
        <v/>
      </c>
      <c r="Z8" s="244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8"/>
        <v>Segunda</v>
      </c>
      <c r="B9" s="34" t="str">
        <f ca="1">IF($C9="",
  "",
  IFERROR(VLOOKUP($C9,Calendario[],2,FALSE),
    IF(WEEKDAY($C9,2)&gt;5,
      "FIM DE SEMANA",
      "DIA ÚTIL")))</f>
        <v>FERIADO</v>
      </c>
      <c r="C9" s="35">
        <f t="shared" ca="1" si="11"/>
        <v>44537</v>
      </c>
      <c r="D9" s="220"/>
      <c r="E9" s="221"/>
      <c r="F9" s="221"/>
      <c r="G9" s="222"/>
      <c r="H9" s="161">
        <f t="shared" ca="1" si="0"/>
        <v>0</v>
      </c>
      <c r="I9" s="141">
        <f t="shared" ca="1" si="1"/>
        <v>0</v>
      </c>
      <c r="J9" s="141">
        <f t="shared" ca="1" si="2"/>
        <v>0</v>
      </c>
      <c r="K9" s="170">
        <f t="shared" ca="1" si="3"/>
        <v>0</v>
      </c>
      <c r="L9" s="163">
        <f t="shared" ca="1" si="9"/>
        <v>0</v>
      </c>
      <c r="M9" s="142">
        <f t="shared" ca="1" si="4"/>
        <v>0</v>
      </c>
      <c r="N9" s="142">
        <f t="shared" ca="1" si="5"/>
        <v>0</v>
      </c>
      <c r="O9" s="172">
        <f t="shared" ca="1" si="6"/>
        <v>0</v>
      </c>
      <c r="P9" s="80">
        <f t="shared" ca="1" si="10"/>
        <v>0</v>
      </c>
      <c r="Q9" s="231"/>
      <c r="R9" s="233"/>
      <c r="S9" s="232"/>
      <c r="T9" s="80">
        <f t="shared" ca="1" si="7"/>
        <v>0</v>
      </c>
      <c r="U9" s="233"/>
      <c r="V9" s="233"/>
      <c r="W9" s="239"/>
      <c r="X9" s="240"/>
      <c r="Y9" s="190" t="str">
        <f ca="1">IFERROR(VLOOKUP($C9,Calendario[],3,FALSE),"")</f>
        <v>Imaculada Conceição - Feriado Municipal</v>
      </c>
      <c r="Z9" s="244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8"/>
        <v>Terça</v>
      </c>
      <c r="B10" s="34" t="str">
        <f ca="1">IF($C10="",
  "",
  IFERROR(VLOOKUP($C10,Calendario[],2,FALSE),
    IF(WEEKDAY($C10,2)&gt;5,
      "FIM DE SEMANA",
      "DIA ÚTIL")))</f>
        <v>DIA ÚTIL</v>
      </c>
      <c r="C10" s="35">
        <f t="shared" ca="1" si="11"/>
        <v>44538</v>
      </c>
      <c r="D10" s="220"/>
      <c r="E10" s="221"/>
      <c r="F10" s="221"/>
      <c r="G10" s="222"/>
      <c r="H10" s="161">
        <f t="shared" ca="1" si="0"/>
        <v>0</v>
      </c>
      <c r="I10" s="141">
        <f t="shared" ca="1" si="1"/>
        <v>0</v>
      </c>
      <c r="J10" s="141">
        <f t="shared" ca="1" si="2"/>
        <v>0</v>
      </c>
      <c r="K10" s="170">
        <f t="shared" ca="1" si="3"/>
        <v>0</v>
      </c>
      <c r="L10" s="163">
        <f t="shared" ca="1" si="9"/>
        <v>0</v>
      </c>
      <c r="M10" s="142">
        <f t="shared" ca="1" si="4"/>
        <v>0</v>
      </c>
      <c r="N10" s="142">
        <f t="shared" ca="1" si="5"/>
        <v>0</v>
      </c>
      <c r="O10" s="172">
        <f t="shared" ca="1" si="6"/>
        <v>0</v>
      </c>
      <c r="P10" s="80">
        <f t="shared" ca="1" si="10"/>
        <v>0</v>
      </c>
      <c r="Q10" s="231"/>
      <c r="R10" s="233"/>
      <c r="S10" s="232"/>
      <c r="T10" s="80">
        <f t="shared" ca="1" si="7"/>
        <v>0</v>
      </c>
      <c r="U10" s="233"/>
      <c r="V10" s="233"/>
      <c r="W10" s="233"/>
      <c r="X10" s="232"/>
      <c r="Y10" s="190" t="str">
        <f ca="1">IFERROR(VLOOKUP($C10,Calendario[],3,FALSE),"")</f>
        <v/>
      </c>
      <c r="Z10" s="244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8"/>
        <v>Quarta</v>
      </c>
      <c r="B11" s="34" t="str">
        <f ca="1">IF($C11="",
  "",
  IFERROR(VLOOKUP($C11,Calendario[],2,FALSE),
    IF(WEEKDAY($C11,2)&gt;5,
      "FIM DE SEMANA",
      "DIA ÚTIL")))</f>
        <v>DIA ÚTIL</v>
      </c>
      <c r="C11" s="35">
        <f t="shared" ca="1" si="11"/>
        <v>44539</v>
      </c>
      <c r="D11" s="220"/>
      <c r="E11" s="221"/>
      <c r="F11" s="221"/>
      <c r="G11" s="222"/>
      <c r="H11" s="161">
        <f t="shared" ca="1" si="0"/>
        <v>0</v>
      </c>
      <c r="I11" s="141">
        <f t="shared" ca="1" si="1"/>
        <v>0</v>
      </c>
      <c r="J11" s="141">
        <f t="shared" ca="1" si="2"/>
        <v>0</v>
      </c>
      <c r="K11" s="170">
        <f t="shared" ca="1" si="3"/>
        <v>0</v>
      </c>
      <c r="L11" s="163">
        <f t="shared" ca="1" si="9"/>
        <v>0</v>
      </c>
      <c r="M11" s="142">
        <f t="shared" ca="1" si="4"/>
        <v>0</v>
      </c>
      <c r="N11" s="142">
        <f t="shared" ca="1" si="5"/>
        <v>0</v>
      </c>
      <c r="O11" s="172">
        <f t="shared" ca="1" si="6"/>
        <v>0</v>
      </c>
      <c r="P11" s="80">
        <f t="shared" ca="1" si="10"/>
        <v>0</v>
      </c>
      <c r="Q11" s="231"/>
      <c r="R11" s="233"/>
      <c r="S11" s="232"/>
      <c r="T11" s="80">
        <f t="shared" ca="1" si="7"/>
        <v>0</v>
      </c>
      <c r="U11" s="233"/>
      <c r="V11" s="233"/>
      <c r="W11" s="233"/>
      <c r="X11" s="232"/>
      <c r="Y11" s="190" t="str">
        <f ca="1">IFERROR(VLOOKUP($C11,Calendario[],3,FALSE),"")</f>
        <v/>
      </c>
      <c r="Z11" s="244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8"/>
        <v>Quinta</v>
      </c>
      <c r="B12" s="34" t="str">
        <f ca="1">IF($C12="",
  "",
  IFERROR(VLOOKUP($C12,Calendario[],2,FALSE),
    IF(WEEKDAY($C12,2)&gt;5,
      "FIM DE SEMANA",
      "DIA ÚTIL")))</f>
        <v>DIA ÚTIL</v>
      </c>
      <c r="C12" s="35">
        <f t="shared" ca="1" si="11"/>
        <v>44540</v>
      </c>
      <c r="D12" s="220"/>
      <c r="E12" s="221"/>
      <c r="F12" s="221"/>
      <c r="G12" s="222"/>
      <c r="H12" s="161">
        <f t="shared" ca="1" si="0"/>
        <v>0</v>
      </c>
      <c r="I12" s="141">
        <f t="shared" ca="1" si="1"/>
        <v>0</v>
      </c>
      <c r="J12" s="141">
        <f t="shared" ca="1" si="2"/>
        <v>0</v>
      </c>
      <c r="K12" s="170">
        <f t="shared" ca="1" si="3"/>
        <v>0</v>
      </c>
      <c r="L12" s="163">
        <f t="shared" ca="1" si="9"/>
        <v>0</v>
      </c>
      <c r="M12" s="142">
        <f t="shared" ca="1" si="4"/>
        <v>0</v>
      </c>
      <c r="N12" s="142">
        <f t="shared" ca="1" si="5"/>
        <v>0</v>
      </c>
      <c r="O12" s="172">
        <f t="shared" ca="1" si="6"/>
        <v>0</v>
      </c>
      <c r="P12" s="80">
        <f t="shared" ca="1" si="10"/>
        <v>0</v>
      </c>
      <c r="Q12" s="231"/>
      <c r="R12" s="233"/>
      <c r="S12" s="232"/>
      <c r="T12" s="80">
        <f t="shared" ca="1" si="7"/>
        <v>0</v>
      </c>
      <c r="U12" s="233"/>
      <c r="V12" s="233"/>
      <c r="W12" s="233"/>
      <c r="X12" s="232"/>
      <c r="Y12" s="190" t="str">
        <f ca="1">IFERROR(VLOOKUP($C12,Calendario[],3,FALSE),"")</f>
        <v/>
      </c>
      <c r="Z12" s="244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8"/>
        <v>Sexta</v>
      </c>
      <c r="B13" s="34" t="str">
        <f ca="1">IF($C13="",
  "",
  IFERROR(VLOOKUP($C13,Calendario[],2,FALSE),
    IF(WEEKDAY($C13,2)&gt;5,
      "FIM DE SEMANA",
      "DIA ÚTIL")))</f>
        <v>DIA ÚTIL</v>
      </c>
      <c r="C13" s="35">
        <f t="shared" ca="1" si="11"/>
        <v>44541</v>
      </c>
      <c r="D13" s="220"/>
      <c r="E13" s="221"/>
      <c r="F13" s="221"/>
      <c r="G13" s="222"/>
      <c r="H13" s="161">
        <f t="shared" ca="1" si="0"/>
        <v>0</v>
      </c>
      <c r="I13" s="141">
        <f t="shared" ca="1" si="1"/>
        <v>0</v>
      </c>
      <c r="J13" s="141">
        <f t="shared" ca="1" si="2"/>
        <v>0</v>
      </c>
      <c r="K13" s="170">
        <f t="shared" ca="1" si="3"/>
        <v>0</v>
      </c>
      <c r="L13" s="163">
        <f t="shared" ca="1" si="9"/>
        <v>0</v>
      </c>
      <c r="M13" s="142">
        <f t="shared" ca="1" si="4"/>
        <v>0</v>
      </c>
      <c r="N13" s="142">
        <f t="shared" ca="1" si="5"/>
        <v>0</v>
      </c>
      <c r="O13" s="172">
        <f t="shared" ca="1" si="6"/>
        <v>0</v>
      </c>
      <c r="P13" s="80">
        <f t="shared" ca="1" si="10"/>
        <v>0</v>
      </c>
      <c r="Q13" s="231"/>
      <c r="R13" s="233"/>
      <c r="S13" s="232"/>
      <c r="T13" s="80">
        <f t="shared" ca="1" si="7"/>
        <v>0</v>
      </c>
      <c r="U13" s="233"/>
      <c r="V13" s="233"/>
      <c r="W13" s="233"/>
      <c r="X13" s="232"/>
      <c r="Y13" s="190" t="str">
        <f ca="1">IFERROR(VLOOKUP($C13,Calendario[],3,FALSE),"")</f>
        <v/>
      </c>
      <c r="Z13" s="244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8"/>
        <v>Sábado</v>
      </c>
      <c r="B14" s="34" t="str">
        <f ca="1">IF($C14="",
  "",
  IFERROR(VLOOKUP($C14,Calendario[],2,FALSE),
    IF(WEEKDAY($C14,2)&gt;5,
      "FIM DE SEMANA",
      "DIA ÚTIL")))</f>
        <v>FIM DE SEMANA</v>
      </c>
      <c r="C14" s="35">
        <f t="shared" ca="1" si="11"/>
        <v>44542</v>
      </c>
      <c r="D14" s="220"/>
      <c r="E14" s="221"/>
      <c r="F14" s="221"/>
      <c r="G14" s="222"/>
      <c r="H14" s="161">
        <f t="shared" ca="1" si="0"/>
        <v>0</v>
      </c>
      <c r="I14" s="141">
        <f t="shared" ca="1" si="1"/>
        <v>0</v>
      </c>
      <c r="J14" s="141">
        <f t="shared" ca="1" si="2"/>
        <v>0</v>
      </c>
      <c r="K14" s="170">
        <f t="shared" ca="1" si="3"/>
        <v>0</v>
      </c>
      <c r="L14" s="163">
        <f t="shared" ca="1" si="9"/>
        <v>0</v>
      </c>
      <c r="M14" s="142">
        <f t="shared" ca="1" si="4"/>
        <v>0</v>
      </c>
      <c r="N14" s="142">
        <f t="shared" ca="1" si="5"/>
        <v>0</v>
      </c>
      <c r="O14" s="172">
        <f t="shared" ca="1" si="6"/>
        <v>0</v>
      </c>
      <c r="P14" s="80">
        <f t="shared" ca="1" si="10"/>
        <v>0</v>
      </c>
      <c r="Q14" s="231"/>
      <c r="R14" s="233"/>
      <c r="S14" s="232"/>
      <c r="T14" s="80">
        <f t="shared" ca="1" si="7"/>
        <v>0</v>
      </c>
      <c r="U14" s="233"/>
      <c r="V14" s="233"/>
      <c r="W14" s="233"/>
      <c r="X14" s="232"/>
      <c r="Y14" s="190" t="str">
        <f ca="1">IFERROR(VLOOKUP($C14,Calendario[],3,FALSE),"")</f>
        <v/>
      </c>
      <c r="Z14" s="244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8"/>
        <v>Domingo</v>
      </c>
      <c r="B15" s="34" t="str">
        <f ca="1">IF($C15="",
  "",
  IFERROR(VLOOKUP($C15,Calendario[],2,FALSE),
    IF(WEEKDAY($C15,2)&gt;5,
      "FIM DE SEMANA",
      "DIA ÚTIL")))</f>
        <v>FIM DE SEMANA</v>
      </c>
      <c r="C15" s="35">
        <f t="shared" ca="1" si="11"/>
        <v>44543</v>
      </c>
      <c r="D15" s="220"/>
      <c r="E15" s="221"/>
      <c r="F15" s="221"/>
      <c r="G15" s="222"/>
      <c r="H15" s="161">
        <f t="shared" ca="1" si="0"/>
        <v>0</v>
      </c>
      <c r="I15" s="141">
        <f t="shared" ca="1" si="1"/>
        <v>0</v>
      </c>
      <c r="J15" s="141">
        <f t="shared" ca="1" si="2"/>
        <v>0</v>
      </c>
      <c r="K15" s="170">
        <f t="shared" ca="1" si="3"/>
        <v>0</v>
      </c>
      <c r="L15" s="163">
        <f t="shared" ca="1" si="9"/>
        <v>0</v>
      </c>
      <c r="M15" s="142">
        <f t="shared" ca="1" si="4"/>
        <v>0</v>
      </c>
      <c r="N15" s="142">
        <f t="shared" ca="1" si="5"/>
        <v>0</v>
      </c>
      <c r="O15" s="172">
        <f t="shared" ca="1" si="6"/>
        <v>0</v>
      </c>
      <c r="P15" s="80">
        <f t="shared" ca="1" si="10"/>
        <v>0</v>
      </c>
      <c r="Q15" s="231"/>
      <c r="R15" s="233"/>
      <c r="S15" s="232"/>
      <c r="T15" s="80">
        <f t="shared" ca="1" si="7"/>
        <v>0</v>
      </c>
      <c r="U15" s="233"/>
      <c r="V15" s="233"/>
      <c r="W15" s="239"/>
      <c r="X15" s="240"/>
      <c r="Y15" s="190" t="str">
        <f ca="1">IFERROR(VLOOKUP($C15,Calendario[],3,FALSE),"")</f>
        <v/>
      </c>
      <c r="Z15" s="244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8"/>
        <v>Segunda</v>
      </c>
      <c r="B16" s="34" t="str">
        <f ca="1">IF($C16="",
  "",
  IFERROR(VLOOKUP($C16,Calendario[],2,FALSE),
    IF(WEEKDAY($C16,2)&gt;5,
      "FIM DE SEMANA",
      "DIA ÚTIL")))</f>
        <v>DIA ÚTIL</v>
      </c>
      <c r="C16" s="35">
        <f t="shared" ca="1" si="11"/>
        <v>44544</v>
      </c>
      <c r="D16" s="220"/>
      <c r="E16" s="221"/>
      <c r="F16" s="221"/>
      <c r="G16" s="222"/>
      <c r="H16" s="161">
        <f t="shared" ca="1" si="0"/>
        <v>0</v>
      </c>
      <c r="I16" s="141">
        <f t="shared" ca="1" si="1"/>
        <v>0</v>
      </c>
      <c r="J16" s="141">
        <f t="shared" ca="1" si="2"/>
        <v>0</v>
      </c>
      <c r="K16" s="170">
        <f t="shared" ca="1" si="3"/>
        <v>0</v>
      </c>
      <c r="L16" s="163">
        <f t="shared" ca="1" si="9"/>
        <v>0</v>
      </c>
      <c r="M16" s="142">
        <f t="shared" ca="1" si="4"/>
        <v>0</v>
      </c>
      <c r="N16" s="142">
        <f t="shared" ca="1" si="5"/>
        <v>0</v>
      </c>
      <c r="O16" s="172">
        <f t="shared" ca="1" si="6"/>
        <v>0</v>
      </c>
      <c r="P16" s="80">
        <f t="shared" ca="1" si="10"/>
        <v>0</v>
      </c>
      <c r="Q16" s="231"/>
      <c r="R16" s="233"/>
      <c r="S16" s="232"/>
      <c r="T16" s="80">
        <f t="shared" ca="1" si="7"/>
        <v>0</v>
      </c>
      <c r="U16" s="233"/>
      <c r="V16" s="233"/>
      <c r="W16" s="239"/>
      <c r="X16" s="240"/>
      <c r="Y16" s="190" t="str">
        <f ca="1">IFERROR(VLOOKUP($C16,Calendario[],3,FALSE),"")</f>
        <v/>
      </c>
      <c r="Z16" s="244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8"/>
        <v>Terça</v>
      </c>
      <c r="B17" s="34" t="str">
        <f ca="1">IF($C17="",
  "",
  IFERROR(VLOOKUP($C17,Calendario[],2,FALSE),
    IF(WEEKDAY($C17,2)&gt;5,
      "FIM DE SEMANA",
      "DIA ÚTIL")))</f>
        <v>DIA ÚTIL</v>
      </c>
      <c r="C17" s="35">
        <f t="shared" ca="1" si="11"/>
        <v>44545</v>
      </c>
      <c r="D17" s="220"/>
      <c r="E17" s="221"/>
      <c r="F17" s="221"/>
      <c r="G17" s="222"/>
      <c r="H17" s="161">
        <f t="shared" ca="1" si="0"/>
        <v>0</v>
      </c>
      <c r="I17" s="141">
        <f t="shared" ca="1" si="1"/>
        <v>0</v>
      </c>
      <c r="J17" s="141">
        <f t="shared" ca="1" si="2"/>
        <v>0</v>
      </c>
      <c r="K17" s="170">
        <f t="shared" ca="1" si="3"/>
        <v>0</v>
      </c>
      <c r="L17" s="163">
        <f t="shared" ca="1" si="9"/>
        <v>0</v>
      </c>
      <c r="M17" s="142">
        <f t="shared" ca="1" si="4"/>
        <v>0</v>
      </c>
      <c r="N17" s="142">
        <f t="shared" ca="1" si="5"/>
        <v>0</v>
      </c>
      <c r="O17" s="172">
        <f t="shared" ca="1" si="6"/>
        <v>0</v>
      </c>
      <c r="P17" s="80">
        <f t="shared" ca="1" si="10"/>
        <v>0</v>
      </c>
      <c r="Q17" s="231"/>
      <c r="R17" s="233"/>
      <c r="S17" s="232"/>
      <c r="T17" s="80">
        <f t="shared" ca="1" si="7"/>
        <v>0</v>
      </c>
      <c r="U17" s="233"/>
      <c r="V17" s="233"/>
      <c r="W17" s="233"/>
      <c r="X17" s="232"/>
      <c r="Y17" s="190" t="str">
        <f ca="1">IFERROR(VLOOKUP($C17,Calendario[],3,FALSE),"")</f>
        <v/>
      </c>
      <c r="Z17" s="244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8"/>
        <v>Quarta</v>
      </c>
      <c r="B18" s="34" t="str">
        <f ca="1">IF($C18="",
  "",
  IFERROR(VLOOKUP($C18,Calendario[],2,FALSE),
    IF(WEEKDAY($C18,2)&gt;5,
      "FIM DE SEMANA",
      "DIA ÚTIL")))</f>
        <v>DIA ÚTIL</v>
      </c>
      <c r="C18" s="35">
        <f t="shared" ca="1" si="11"/>
        <v>44546</v>
      </c>
      <c r="D18" s="220"/>
      <c r="E18" s="221"/>
      <c r="F18" s="221"/>
      <c r="G18" s="222"/>
      <c r="H18" s="161">
        <f t="shared" ca="1" si="0"/>
        <v>0</v>
      </c>
      <c r="I18" s="141">
        <f t="shared" ca="1" si="1"/>
        <v>0</v>
      </c>
      <c r="J18" s="141">
        <f t="shared" ca="1" si="2"/>
        <v>0</v>
      </c>
      <c r="K18" s="170">
        <f t="shared" ca="1" si="3"/>
        <v>0</v>
      </c>
      <c r="L18" s="163">
        <f t="shared" ca="1" si="9"/>
        <v>0</v>
      </c>
      <c r="M18" s="142">
        <f t="shared" ca="1" si="4"/>
        <v>0</v>
      </c>
      <c r="N18" s="142">
        <f t="shared" ca="1" si="5"/>
        <v>0</v>
      </c>
      <c r="O18" s="172">
        <f t="shared" ca="1" si="6"/>
        <v>0</v>
      </c>
      <c r="P18" s="80">
        <f t="shared" ca="1" si="10"/>
        <v>0</v>
      </c>
      <c r="Q18" s="231"/>
      <c r="R18" s="233"/>
      <c r="S18" s="232"/>
      <c r="T18" s="80">
        <f t="shared" ca="1" si="7"/>
        <v>0</v>
      </c>
      <c r="U18" s="233"/>
      <c r="V18" s="233"/>
      <c r="W18" s="233"/>
      <c r="X18" s="232"/>
      <c r="Y18" s="190" t="str">
        <f ca="1">IFERROR(VLOOKUP($C18,Calendario[],3,FALSE),"")</f>
        <v/>
      </c>
      <c r="Z18" s="244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8"/>
        <v>Quinta</v>
      </c>
      <c r="B19" s="34" t="str">
        <f ca="1">IF($C19="",
  "",
  IFERROR(VLOOKUP($C19,Calendario[],2,FALSE),
    IF(WEEKDAY($C19,2)&gt;5,
      "FIM DE SEMANA",
      "DIA ÚTIL")))</f>
        <v>DIA ÚTIL</v>
      </c>
      <c r="C19" s="35">
        <f t="shared" ca="1" si="11"/>
        <v>44547</v>
      </c>
      <c r="D19" s="220"/>
      <c r="E19" s="221"/>
      <c r="F19" s="221"/>
      <c r="G19" s="222"/>
      <c r="H19" s="161">
        <f t="shared" ca="1" si="0"/>
        <v>0</v>
      </c>
      <c r="I19" s="141">
        <f t="shared" ca="1" si="1"/>
        <v>0</v>
      </c>
      <c r="J19" s="141">
        <f t="shared" ca="1" si="2"/>
        <v>0</v>
      </c>
      <c r="K19" s="170">
        <f t="shared" ca="1" si="3"/>
        <v>0</v>
      </c>
      <c r="L19" s="163">
        <f t="shared" ca="1" si="9"/>
        <v>0</v>
      </c>
      <c r="M19" s="142">
        <f t="shared" ca="1" si="4"/>
        <v>0</v>
      </c>
      <c r="N19" s="142">
        <f t="shared" ca="1" si="5"/>
        <v>0</v>
      </c>
      <c r="O19" s="172">
        <f t="shared" ca="1" si="6"/>
        <v>0</v>
      </c>
      <c r="P19" s="80">
        <f t="shared" ca="1" si="10"/>
        <v>0</v>
      </c>
      <c r="Q19" s="231"/>
      <c r="R19" s="233"/>
      <c r="S19" s="232"/>
      <c r="T19" s="80">
        <f t="shared" ca="1" si="7"/>
        <v>0</v>
      </c>
      <c r="U19" s="233"/>
      <c r="V19" s="233"/>
      <c r="W19" s="233"/>
      <c r="X19" s="232"/>
      <c r="Y19" s="190" t="str">
        <f ca="1">IFERROR(VLOOKUP($C19,Calendario[],3,FALSE),"")</f>
        <v/>
      </c>
      <c r="Z19" s="244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8"/>
        <v>Sexta</v>
      </c>
      <c r="B20" s="34" t="str">
        <f ca="1">IF($C20="",
  "",
  IFERROR(VLOOKUP($C20,Calendario[],2,FALSE),
    IF(WEEKDAY($C20,2)&gt;5,
      "FIM DE SEMANA",
      "DIA ÚTIL")))</f>
        <v>DIA ÚTIL</v>
      </c>
      <c r="C20" s="35">
        <f t="shared" ca="1" si="11"/>
        <v>44548</v>
      </c>
      <c r="D20" s="220"/>
      <c r="E20" s="221"/>
      <c r="F20" s="221"/>
      <c r="G20" s="222"/>
      <c r="H20" s="161">
        <f t="shared" ca="1" si="0"/>
        <v>0</v>
      </c>
      <c r="I20" s="141">
        <f t="shared" ca="1" si="1"/>
        <v>0</v>
      </c>
      <c r="J20" s="141">
        <f t="shared" ca="1" si="2"/>
        <v>0</v>
      </c>
      <c r="K20" s="170">
        <f t="shared" ca="1" si="3"/>
        <v>0</v>
      </c>
      <c r="L20" s="163">
        <f t="shared" ca="1" si="9"/>
        <v>0</v>
      </c>
      <c r="M20" s="142">
        <f t="shared" ca="1" si="4"/>
        <v>0</v>
      </c>
      <c r="N20" s="142">
        <f t="shared" ca="1" si="5"/>
        <v>0</v>
      </c>
      <c r="O20" s="172">
        <f t="shared" ca="1" si="6"/>
        <v>0</v>
      </c>
      <c r="P20" s="80">
        <f t="shared" ca="1" si="10"/>
        <v>0</v>
      </c>
      <c r="Q20" s="231"/>
      <c r="R20" s="233"/>
      <c r="S20" s="232"/>
      <c r="T20" s="80">
        <f t="shared" ca="1" si="7"/>
        <v>0</v>
      </c>
      <c r="U20" s="233"/>
      <c r="V20" s="233"/>
      <c r="W20" s="233"/>
      <c r="X20" s="232"/>
      <c r="Y20" s="190" t="str">
        <f ca="1">IFERROR(VLOOKUP($C20,Calendario[],3,FALSE),"")</f>
        <v/>
      </c>
      <c r="Z20" s="244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8"/>
        <v>Sábado</v>
      </c>
      <c r="B21" s="34" t="str">
        <f ca="1">IF($C21="",
  "",
  IFERROR(VLOOKUP($C21,Calendario[],2,FALSE),
    IF(WEEKDAY($C21,2)&gt;5,
      "FIM DE SEMANA",
      "DIA ÚTIL")))</f>
        <v>FIM DE SEMANA</v>
      </c>
      <c r="C21" s="35">
        <f t="shared" ca="1" si="11"/>
        <v>44549</v>
      </c>
      <c r="D21" s="220"/>
      <c r="E21" s="221"/>
      <c r="F21" s="221"/>
      <c r="G21" s="222"/>
      <c r="H21" s="161">
        <f t="shared" ca="1" si="0"/>
        <v>0</v>
      </c>
      <c r="I21" s="141">
        <f t="shared" ca="1" si="1"/>
        <v>0</v>
      </c>
      <c r="J21" s="141">
        <f t="shared" ca="1" si="2"/>
        <v>0</v>
      </c>
      <c r="K21" s="170">
        <f t="shared" ca="1" si="3"/>
        <v>0</v>
      </c>
      <c r="L21" s="163">
        <f t="shared" ca="1" si="9"/>
        <v>0</v>
      </c>
      <c r="M21" s="142">
        <f t="shared" ca="1" si="4"/>
        <v>0</v>
      </c>
      <c r="N21" s="142">
        <f t="shared" ca="1" si="5"/>
        <v>0</v>
      </c>
      <c r="O21" s="172">
        <f t="shared" ca="1" si="6"/>
        <v>0</v>
      </c>
      <c r="P21" s="80">
        <f t="shared" ca="1" si="10"/>
        <v>0</v>
      </c>
      <c r="Q21" s="231"/>
      <c r="R21" s="233"/>
      <c r="S21" s="232"/>
      <c r="T21" s="80">
        <f t="shared" ca="1" si="7"/>
        <v>0</v>
      </c>
      <c r="U21" s="233"/>
      <c r="V21" s="233"/>
      <c r="W21" s="233"/>
      <c r="X21" s="232"/>
      <c r="Y21" s="190" t="str">
        <f ca="1">IFERROR(VLOOKUP($C21,Calendario[],3,FALSE),"")</f>
        <v/>
      </c>
      <c r="Z21" s="244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8"/>
        <v>Domingo</v>
      </c>
      <c r="B22" s="34" t="str">
        <f ca="1">IF($C22="",
  "",
  IFERROR(VLOOKUP($C22,Calendario[],2,FALSE),
    IF(WEEKDAY($C22,2)&gt;5,
      "FIM DE SEMANA",
      "DIA ÚTIL")))</f>
        <v>FIM DE SEMANA</v>
      </c>
      <c r="C22" s="35">
        <f t="shared" ca="1" si="11"/>
        <v>44550</v>
      </c>
      <c r="D22" s="220"/>
      <c r="E22" s="221"/>
      <c r="F22" s="221"/>
      <c r="G22" s="222"/>
      <c r="H22" s="161">
        <f t="shared" ca="1" si="0"/>
        <v>0</v>
      </c>
      <c r="I22" s="141">
        <f t="shared" ca="1" si="1"/>
        <v>0</v>
      </c>
      <c r="J22" s="141">
        <f t="shared" ca="1" si="2"/>
        <v>0</v>
      </c>
      <c r="K22" s="170">
        <f t="shared" ca="1" si="3"/>
        <v>0</v>
      </c>
      <c r="L22" s="163">
        <f t="shared" ca="1" si="9"/>
        <v>0</v>
      </c>
      <c r="M22" s="142">
        <f t="shared" ca="1" si="4"/>
        <v>0</v>
      </c>
      <c r="N22" s="142">
        <f t="shared" ca="1" si="5"/>
        <v>0</v>
      </c>
      <c r="O22" s="172">
        <f t="shared" ca="1" si="6"/>
        <v>0</v>
      </c>
      <c r="P22" s="80">
        <f t="shared" ca="1" si="10"/>
        <v>0</v>
      </c>
      <c r="Q22" s="231"/>
      <c r="R22" s="233"/>
      <c r="S22" s="232"/>
      <c r="T22" s="80">
        <f t="shared" ca="1" si="7"/>
        <v>0</v>
      </c>
      <c r="U22" s="233"/>
      <c r="V22" s="233"/>
      <c r="W22" s="239"/>
      <c r="X22" s="240"/>
      <c r="Y22" s="190" t="str">
        <f ca="1">IFERROR(VLOOKUP($C22,Calendario[],3,FALSE),"")</f>
        <v/>
      </c>
      <c r="Z22" s="244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8"/>
        <v>Segunda</v>
      </c>
      <c r="B23" s="34" t="str">
        <f ca="1">IF($C23="",
  "",
  IFERROR(VLOOKUP($C23,Calendario[],2,FALSE),
    IF(WEEKDAY($C23,2)&gt;5,
      "FIM DE SEMANA",
      "DIA ÚTIL")))</f>
        <v>DIA ÚTIL</v>
      </c>
      <c r="C23" s="35">
        <f t="shared" ca="1" si="11"/>
        <v>44551</v>
      </c>
      <c r="D23" s="220"/>
      <c r="E23" s="221"/>
      <c r="F23" s="223"/>
      <c r="G23" s="222"/>
      <c r="H23" s="161">
        <f t="shared" ca="1" si="0"/>
        <v>0</v>
      </c>
      <c r="I23" s="141">
        <f t="shared" ca="1" si="1"/>
        <v>0</v>
      </c>
      <c r="J23" s="141">
        <f t="shared" ca="1" si="2"/>
        <v>0</v>
      </c>
      <c r="K23" s="170">
        <f t="shared" ca="1" si="3"/>
        <v>0</v>
      </c>
      <c r="L23" s="163">
        <f t="shared" ca="1" si="9"/>
        <v>0</v>
      </c>
      <c r="M23" s="142">
        <f t="shared" ca="1" si="4"/>
        <v>0</v>
      </c>
      <c r="N23" s="142">
        <f t="shared" ca="1" si="5"/>
        <v>0</v>
      </c>
      <c r="O23" s="172">
        <f t="shared" ca="1" si="6"/>
        <v>0</v>
      </c>
      <c r="P23" s="80">
        <f t="shared" ca="1" si="10"/>
        <v>0</v>
      </c>
      <c r="Q23" s="231"/>
      <c r="R23" s="233"/>
      <c r="S23" s="232"/>
      <c r="T23" s="80">
        <f t="shared" ca="1" si="7"/>
        <v>0</v>
      </c>
      <c r="U23" s="233"/>
      <c r="V23" s="233"/>
      <c r="W23" s="239"/>
      <c r="X23" s="240"/>
      <c r="Y23" s="190" t="str">
        <f ca="1">IFERROR(VLOOKUP($C23,Calendario[],3,FALSE),"")</f>
        <v/>
      </c>
      <c r="Z23" s="244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8"/>
        <v>Terça</v>
      </c>
      <c r="B24" s="34" t="str">
        <f ca="1">IF($C24="",
  "",
  IFERROR(VLOOKUP($C24,Calendario[],2,FALSE),
    IF(WEEKDAY($C24,2)&gt;5,
      "FIM DE SEMANA",
      "DIA ÚTIL")))</f>
        <v>DIA ÚTIL</v>
      </c>
      <c r="C24" s="35">
        <f t="shared" ca="1" si="11"/>
        <v>44552</v>
      </c>
      <c r="D24" s="220"/>
      <c r="E24" s="224"/>
      <c r="F24" s="221"/>
      <c r="G24" s="222"/>
      <c r="H24" s="161">
        <f t="shared" ca="1" si="0"/>
        <v>0</v>
      </c>
      <c r="I24" s="141">
        <f t="shared" ca="1" si="1"/>
        <v>0</v>
      </c>
      <c r="J24" s="141">
        <f t="shared" ca="1" si="2"/>
        <v>0</v>
      </c>
      <c r="K24" s="170">
        <f t="shared" ca="1" si="3"/>
        <v>0</v>
      </c>
      <c r="L24" s="163">
        <f t="shared" ca="1" si="9"/>
        <v>0</v>
      </c>
      <c r="M24" s="142">
        <f t="shared" ca="1" si="4"/>
        <v>0</v>
      </c>
      <c r="N24" s="142">
        <f t="shared" ca="1" si="5"/>
        <v>0</v>
      </c>
      <c r="O24" s="172">
        <f t="shared" ca="1" si="6"/>
        <v>0</v>
      </c>
      <c r="P24" s="80">
        <f t="shared" ca="1" si="10"/>
        <v>0</v>
      </c>
      <c r="Q24" s="231"/>
      <c r="R24" s="233"/>
      <c r="S24" s="232"/>
      <c r="T24" s="80">
        <f t="shared" ca="1" si="7"/>
        <v>0</v>
      </c>
      <c r="U24" s="233"/>
      <c r="V24" s="233"/>
      <c r="W24" s="233"/>
      <c r="X24" s="232"/>
      <c r="Y24" s="190" t="str">
        <f ca="1">IFERROR(VLOOKUP($C24,Calendario[],3,FALSE),"")</f>
        <v/>
      </c>
      <c r="Z24" s="244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8"/>
        <v>Quarta</v>
      </c>
      <c r="B25" s="34" t="str">
        <f ca="1">IF($C25="",
  "",
  IFERROR(VLOOKUP($C25,Calendario[],2,FALSE),
    IF(WEEKDAY($C25,2)&gt;5,
      "FIM DE SEMANA",
      "DIA ÚTIL")))</f>
        <v>1/2 COMPENSADO</v>
      </c>
      <c r="C25" s="35">
        <f t="shared" ca="1" si="11"/>
        <v>44553</v>
      </c>
      <c r="D25" s="220"/>
      <c r="E25" s="224"/>
      <c r="F25" s="221"/>
      <c r="G25" s="222"/>
      <c r="H25" s="161">
        <f t="shared" ca="1" si="0"/>
        <v>0</v>
      </c>
      <c r="I25" s="141">
        <f t="shared" ca="1" si="1"/>
        <v>0</v>
      </c>
      <c r="J25" s="141">
        <f t="shared" ca="1" si="2"/>
        <v>0</v>
      </c>
      <c r="K25" s="170">
        <f t="shared" ca="1" si="3"/>
        <v>0</v>
      </c>
      <c r="L25" s="163">
        <f t="shared" ca="1" si="9"/>
        <v>0</v>
      </c>
      <c r="M25" s="142">
        <f t="shared" ca="1" si="4"/>
        <v>0</v>
      </c>
      <c r="N25" s="142">
        <f t="shared" ca="1" si="5"/>
        <v>0</v>
      </c>
      <c r="O25" s="172">
        <f t="shared" ca="1" si="6"/>
        <v>0</v>
      </c>
      <c r="P25" s="80">
        <f t="shared" ca="1" si="10"/>
        <v>0</v>
      </c>
      <c r="Q25" s="231"/>
      <c r="R25" s="233"/>
      <c r="S25" s="232"/>
      <c r="T25" s="80">
        <f t="shared" ca="1" si="7"/>
        <v>0</v>
      </c>
      <c r="U25" s="233"/>
      <c r="V25" s="233"/>
      <c r="W25" s="233"/>
      <c r="X25" s="232"/>
      <c r="Y25" s="190" t="str">
        <f ca="1">IFERROR(VLOOKUP($C25,Calendario[],3,FALSE),"")</f>
        <v>1° Expediente - Dispensado / 2° Expediente - Compensado</v>
      </c>
      <c r="Z25" s="244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8"/>
        <v>Quinta</v>
      </c>
      <c r="B26" s="34" t="str">
        <f ca="1">IF($C26="",
  "",
  IFERROR(VLOOKUP($C26,Calendario[],2,FALSE),
    IF(WEEKDAY($C26,2)&gt;5,
      "FIM DE SEMANA",
      "DIA ÚTIL")))</f>
        <v>FERIADO</v>
      </c>
      <c r="C26" s="35">
        <f t="shared" ca="1" si="11"/>
        <v>44554</v>
      </c>
      <c r="D26" s="220"/>
      <c r="E26" s="221"/>
      <c r="F26" s="221"/>
      <c r="G26" s="222"/>
      <c r="H26" s="161">
        <f t="shared" ca="1" si="0"/>
        <v>0</v>
      </c>
      <c r="I26" s="141">
        <f t="shared" ca="1" si="1"/>
        <v>0</v>
      </c>
      <c r="J26" s="141">
        <f t="shared" ca="1" si="2"/>
        <v>0</v>
      </c>
      <c r="K26" s="170">
        <f t="shared" ca="1" si="3"/>
        <v>0</v>
      </c>
      <c r="L26" s="163">
        <f t="shared" ca="1" si="9"/>
        <v>0</v>
      </c>
      <c r="M26" s="142">
        <f t="shared" ca="1" si="4"/>
        <v>0</v>
      </c>
      <c r="N26" s="142">
        <f t="shared" ca="1" si="5"/>
        <v>0</v>
      </c>
      <c r="O26" s="172">
        <f t="shared" ca="1" si="6"/>
        <v>0</v>
      </c>
      <c r="P26" s="80">
        <f t="shared" ca="1" si="10"/>
        <v>0</v>
      </c>
      <c r="Q26" s="231"/>
      <c r="R26" s="233"/>
      <c r="S26" s="232"/>
      <c r="T26" s="80">
        <f t="shared" ca="1" si="7"/>
        <v>0</v>
      </c>
      <c r="U26" s="233"/>
      <c r="V26" s="233"/>
      <c r="W26" s="233"/>
      <c r="X26" s="232"/>
      <c r="Y26" s="190" t="str">
        <f ca="1">IFERROR(VLOOKUP($C26,Calendario[],3,FALSE),"")</f>
        <v>Natal - Feriado Nacional</v>
      </c>
      <c r="Z26" s="244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8"/>
        <v>Sexta</v>
      </c>
      <c r="B27" s="34" t="str">
        <f ca="1">IF($C27="",
  "",
  IFERROR(VLOOKUP($C27,Calendario[],2,FALSE),
    IF(WEEKDAY($C27,2)&gt;5,
      "FIM DE SEMANA",
      "DIA ÚTIL")))</f>
        <v>COMPENSADO</v>
      </c>
      <c r="C27" s="35">
        <f t="shared" ca="1" si="11"/>
        <v>44555</v>
      </c>
      <c r="D27" s="220"/>
      <c r="E27" s="221"/>
      <c r="F27" s="221"/>
      <c r="G27" s="222"/>
      <c r="H27" s="161">
        <f t="shared" ca="1" si="0"/>
        <v>0</v>
      </c>
      <c r="I27" s="141">
        <f t="shared" ca="1" si="1"/>
        <v>0</v>
      </c>
      <c r="J27" s="141">
        <f t="shared" ca="1" si="2"/>
        <v>0</v>
      </c>
      <c r="K27" s="170">
        <f t="shared" ca="1" si="3"/>
        <v>0</v>
      </c>
      <c r="L27" s="163">
        <f t="shared" ca="1" si="9"/>
        <v>0</v>
      </c>
      <c r="M27" s="142">
        <f t="shared" ca="1" si="4"/>
        <v>0</v>
      </c>
      <c r="N27" s="142">
        <f t="shared" ca="1" si="5"/>
        <v>0</v>
      </c>
      <c r="O27" s="172">
        <f t="shared" ca="1" si="6"/>
        <v>0</v>
      </c>
      <c r="P27" s="80">
        <f t="shared" ca="1" si="10"/>
        <v>0</v>
      </c>
      <c r="Q27" s="231"/>
      <c r="R27" s="233"/>
      <c r="S27" s="232"/>
      <c r="T27" s="80">
        <f t="shared" ca="1" si="7"/>
        <v>0</v>
      </c>
      <c r="U27" s="233"/>
      <c r="V27" s="233"/>
      <c r="W27" s="233"/>
      <c r="X27" s="232"/>
      <c r="Y27" s="190" t="str">
        <f ca="1">IFERROR(VLOOKUP($C27,Calendario[],3,FALSE),"")</f>
        <v>Dia Compensado Facultativo (Dia Normal)</v>
      </c>
      <c r="Z27" s="244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8"/>
        <v>Sábado</v>
      </c>
      <c r="B28" s="34" t="str">
        <f ca="1">IF($C28="",
  "",
  IFERROR(VLOOKUP($C28,Calendario[],2,FALSE),
    IF(WEEKDAY($C28,2)&gt;5,
      "FIM DE SEMANA",
      "DIA ÚTIL")))</f>
        <v>FIM DE SEMANA</v>
      </c>
      <c r="C28" s="35">
        <f t="shared" ca="1" si="11"/>
        <v>44556</v>
      </c>
      <c r="D28" s="220"/>
      <c r="E28" s="221"/>
      <c r="F28" s="221"/>
      <c r="G28" s="222"/>
      <c r="H28" s="161">
        <f t="shared" ca="1" si="0"/>
        <v>0</v>
      </c>
      <c r="I28" s="141">
        <f t="shared" ca="1" si="1"/>
        <v>0</v>
      </c>
      <c r="J28" s="141">
        <f t="shared" ca="1" si="2"/>
        <v>0</v>
      </c>
      <c r="K28" s="170">
        <f t="shared" ca="1" si="3"/>
        <v>0</v>
      </c>
      <c r="L28" s="163">
        <f t="shared" ca="1" si="9"/>
        <v>0</v>
      </c>
      <c r="M28" s="142">
        <f t="shared" ca="1" si="4"/>
        <v>0</v>
      </c>
      <c r="N28" s="142">
        <f t="shared" ca="1" si="5"/>
        <v>0</v>
      </c>
      <c r="O28" s="172">
        <f t="shared" ca="1" si="6"/>
        <v>0</v>
      </c>
      <c r="P28" s="80">
        <f t="shared" ca="1" si="10"/>
        <v>0</v>
      </c>
      <c r="Q28" s="231"/>
      <c r="R28" s="233"/>
      <c r="S28" s="232"/>
      <c r="T28" s="80">
        <f t="shared" ca="1" si="7"/>
        <v>0</v>
      </c>
      <c r="U28" s="233"/>
      <c r="V28" s="233"/>
      <c r="W28" s="233"/>
      <c r="X28" s="232"/>
      <c r="Y28" s="190" t="str">
        <f ca="1">IFERROR(VLOOKUP($C28,Calendario[],3,FALSE),"")</f>
        <v/>
      </c>
      <c r="Z28" s="24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8"/>
        <v>Domingo</v>
      </c>
      <c r="B29" s="34" t="str">
        <f ca="1">IF($C29="",
  "",
  IFERROR(VLOOKUP($C29,Calendario[],2,FALSE),
    IF(WEEKDAY($C29,2)&gt;5,
      "FIM DE SEMANA",
      "DIA ÚTIL")))</f>
        <v>FIM DE SEMANA</v>
      </c>
      <c r="C29" s="35">
        <f t="shared" ca="1" si="11"/>
        <v>44557</v>
      </c>
      <c r="D29" s="220"/>
      <c r="E29" s="221"/>
      <c r="F29" s="221"/>
      <c r="G29" s="222"/>
      <c r="H29" s="161">
        <f t="shared" ca="1" si="0"/>
        <v>0</v>
      </c>
      <c r="I29" s="141">
        <f t="shared" ca="1" si="1"/>
        <v>0</v>
      </c>
      <c r="J29" s="141">
        <f t="shared" ca="1" si="2"/>
        <v>0</v>
      </c>
      <c r="K29" s="170">
        <f t="shared" ca="1" si="3"/>
        <v>0</v>
      </c>
      <c r="L29" s="163">
        <f t="shared" ca="1" si="9"/>
        <v>0</v>
      </c>
      <c r="M29" s="142">
        <f t="shared" ca="1" si="4"/>
        <v>0</v>
      </c>
      <c r="N29" s="142">
        <f t="shared" ca="1" si="5"/>
        <v>0</v>
      </c>
      <c r="O29" s="172">
        <f t="shared" ca="1" si="6"/>
        <v>0</v>
      </c>
      <c r="P29" s="80">
        <f t="shared" ca="1" si="10"/>
        <v>0</v>
      </c>
      <c r="Q29" s="231"/>
      <c r="R29" s="233"/>
      <c r="S29" s="232"/>
      <c r="T29" s="80">
        <f t="shared" ca="1" si="7"/>
        <v>0</v>
      </c>
      <c r="U29" s="233"/>
      <c r="V29" s="233"/>
      <c r="W29" s="233"/>
      <c r="X29" s="232"/>
      <c r="Y29" s="190" t="str">
        <f ca="1">IFERROR(VLOOKUP($C29,Calendario[],3,FALSE),"")</f>
        <v/>
      </c>
      <c r="Z29" s="244"/>
    </row>
    <row r="30" spans="1:61" s="28" customFormat="1" ht="15.75" x14ac:dyDescent="0.25">
      <c r="A30" s="33" t="str">
        <f t="shared" ca="1" si="8"/>
        <v>Segunda</v>
      </c>
      <c r="B30" s="34" t="str">
        <f ca="1">IF($C30="",
  "",
  IFERROR(VLOOKUP($C30,Calendario[],2,FALSE),
    IF(WEEKDAY($C30,2)&gt;5,
      "FIM DE SEMANA",
      "DIA ÚTIL")))</f>
        <v>DIA ÚTIL</v>
      </c>
      <c r="C30" s="35">
        <f t="shared" ca="1" si="11"/>
        <v>44558</v>
      </c>
      <c r="D30" s="220"/>
      <c r="E30" s="221"/>
      <c r="F30" s="221"/>
      <c r="G30" s="222"/>
      <c r="H30" s="161">
        <f t="shared" ca="1" si="0"/>
        <v>0</v>
      </c>
      <c r="I30" s="141">
        <f t="shared" ca="1" si="1"/>
        <v>0</v>
      </c>
      <c r="J30" s="141">
        <f t="shared" ca="1" si="2"/>
        <v>0</v>
      </c>
      <c r="K30" s="170">
        <f t="shared" ca="1" si="3"/>
        <v>0</v>
      </c>
      <c r="L30" s="163">
        <f ca="1">(I30-H30)+(K30-J30)</f>
        <v>0</v>
      </c>
      <c r="M30" s="142">
        <f t="shared" ca="1" si="4"/>
        <v>0</v>
      </c>
      <c r="N30" s="142">
        <f t="shared" ca="1" si="5"/>
        <v>0</v>
      </c>
      <c r="O30" s="172">
        <f t="shared" ca="1" si="6"/>
        <v>0</v>
      </c>
      <c r="P30" s="80">
        <f t="shared" ca="1" si="10"/>
        <v>0</v>
      </c>
      <c r="Q30" s="231"/>
      <c r="R30" s="233"/>
      <c r="S30" s="232"/>
      <c r="T30" s="80">
        <f t="shared" ca="1" si="7"/>
        <v>0</v>
      </c>
      <c r="U30" s="233"/>
      <c r="V30" s="233"/>
      <c r="W30" s="239"/>
      <c r="X30" s="240"/>
      <c r="Y30" s="190" t="str">
        <f ca="1">IFERROR(VLOOKUP($C30,Calendario[],3,FALSE),"")</f>
        <v/>
      </c>
      <c r="Z30" s="244"/>
    </row>
    <row r="31" spans="1:61" s="28" customFormat="1" ht="15.75" x14ac:dyDescent="0.25">
      <c r="A31" s="33" t="str">
        <f t="shared" ca="1" si="8"/>
        <v>Terça</v>
      </c>
      <c r="B31" s="34" t="str">
        <f ca="1">IF($C31="",
  "",
  IFERROR(VLOOKUP($C31,Calendario[],2,FALSE),
    IF(WEEKDAY($C31,2)&gt;5,
      "FIM DE SEMANA",
      "DIA ÚTIL")))</f>
        <v>DIA ÚTIL</v>
      </c>
      <c r="C31" s="35">
        <f t="shared" ca="1" si="11"/>
        <v>44559</v>
      </c>
      <c r="D31" s="220"/>
      <c r="E31" s="221"/>
      <c r="F31" s="221"/>
      <c r="G31" s="222"/>
      <c r="H31" s="161">
        <f t="shared" ca="1" si="0"/>
        <v>0</v>
      </c>
      <c r="I31" s="141">
        <f t="shared" ca="1" si="1"/>
        <v>0</v>
      </c>
      <c r="J31" s="141">
        <f t="shared" ca="1" si="2"/>
        <v>0</v>
      </c>
      <c r="K31" s="170">
        <f t="shared" ca="1" si="3"/>
        <v>0</v>
      </c>
      <c r="L31" s="163">
        <f t="shared" ca="1" si="9"/>
        <v>0</v>
      </c>
      <c r="M31" s="142">
        <f t="shared" ca="1" si="4"/>
        <v>0</v>
      </c>
      <c r="N31" s="142">
        <f t="shared" ca="1" si="5"/>
        <v>0</v>
      </c>
      <c r="O31" s="172">
        <f t="shared" ca="1" si="6"/>
        <v>0</v>
      </c>
      <c r="P31" s="80">
        <f t="shared" ca="1" si="10"/>
        <v>0</v>
      </c>
      <c r="Q31" s="231"/>
      <c r="R31" s="233"/>
      <c r="S31" s="232"/>
      <c r="T31" s="80">
        <f t="shared" ca="1" si="7"/>
        <v>0</v>
      </c>
      <c r="U31" s="233"/>
      <c r="V31" s="233"/>
      <c r="W31" s="239"/>
      <c r="X31" s="240"/>
      <c r="Y31" s="190" t="str">
        <f ca="1">IFERROR(VLOOKUP($C31,Calendario[],3,FALSE),"")</f>
        <v/>
      </c>
      <c r="Z31" s="244"/>
    </row>
    <row r="32" spans="1:61" s="28" customFormat="1" ht="16.5" thickBot="1" x14ac:dyDescent="0.3">
      <c r="A32" s="81" t="str">
        <f t="shared" ca="1" si="8"/>
        <v>Quarta</v>
      </c>
      <c r="B32" s="149" t="str">
        <f ca="1">IF($C32="",
  "",
  IFERROR(VLOOKUP($C32,Calendario[],2,FALSE),
    IF(WEEKDAY($C32,2)&gt;5,
      "FIM DE SEMANA",
      "DIA ÚTIL")))</f>
        <v>1/2 COMPENSADO</v>
      </c>
      <c r="C32" s="35">
        <f t="shared" ca="1" si="11"/>
        <v>44560</v>
      </c>
      <c r="D32" s="225"/>
      <c r="E32" s="224"/>
      <c r="F32" s="224"/>
      <c r="G32" s="226"/>
      <c r="H32" s="162">
        <f t="shared" ca="1" si="0"/>
        <v>0</v>
      </c>
      <c r="I32" s="151">
        <f t="shared" ca="1" si="1"/>
        <v>0</v>
      </c>
      <c r="J32" s="151">
        <f t="shared" ca="1" si="2"/>
        <v>0</v>
      </c>
      <c r="K32" s="171">
        <f t="shared" ca="1" si="3"/>
        <v>0</v>
      </c>
      <c r="L32" s="164">
        <f t="shared" ca="1" si="9"/>
        <v>0</v>
      </c>
      <c r="M32" s="146">
        <f t="shared" ca="1" si="4"/>
        <v>0</v>
      </c>
      <c r="N32" s="146">
        <f t="shared" ca="1" si="5"/>
        <v>0</v>
      </c>
      <c r="O32" s="173">
        <f t="shared" ca="1" si="6"/>
        <v>0</v>
      </c>
      <c r="P32" s="165">
        <f t="shared" ca="1" si="10"/>
        <v>0</v>
      </c>
      <c r="Q32" s="234"/>
      <c r="R32" s="235"/>
      <c r="S32" s="236"/>
      <c r="T32" s="165">
        <f t="shared" ca="1" si="7"/>
        <v>0</v>
      </c>
      <c r="U32" s="235"/>
      <c r="V32" s="235"/>
      <c r="W32" s="235"/>
      <c r="X32" s="241"/>
      <c r="Y32" s="191" t="str">
        <f ca="1">IFERROR(VLOOKUP($C32,Calendario[],3,FALSE),"")</f>
        <v>1° Expediente - Dispensado / 2° Expediente - Compensado</v>
      </c>
      <c r="Z32" s="245"/>
    </row>
    <row r="33" spans="1:29" s="14" customFormat="1" ht="24.95" customHeight="1" thickBot="1" x14ac:dyDescent="0.3">
      <c r="A33" s="215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6"/>
      <c r="M33" s="216"/>
      <c r="N33" s="216"/>
      <c r="O33" s="216"/>
      <c r="P33" s="182">
        <f ca="1">SUMIF($P$2:$P$32,"&gt;0:00")</f>
        <v>0</v>
      </c>
      <c r="Q33" s="132">
        <f>SUMIF($Q$2:$Q$32,"&gt;0:00")</f>
        <v>0</v>
      </c>
      <c r="R33" s="128">
        <f>SUMIF($R$2:$R$32,"&gt;0:00")</f>
        <v>0</v>
      </c>
      <c r="S33" s="188">
        <f>SUMIF($S$2:$S$32,"&gt;0:00")</f>
        <v>0</v>
      </c>
      <c r="T33" s="182">
        <f ca="1">SUMIF($T$2:$T$32,"&gt;0:00")</f>
        <v>0</v>
      </c>
      <c r="U33" s="132">
        <f>SUMIF($U$2:$U$32,"&gt;0:00")</f>
        <v>0</v>
      </c>
      <c r="V33" s="132">
        <f>SUMIF($V$2:$V$32,"&gt;0:00")</f>
        <v>0</v>
      </c>
      <c r="W33" s="129">
        <f>SUMIF($W$2:$W$32,"&gt;0:00")</f>
        <v>0</v>
      </c>
      <c r="X33" s="130">
        <f>SUMIF($X$2:$X$32,"&gt;0:00")</f>
        <v>0</v>
      </c>
      <c r="Y33" s="213"/>
      <c r="Z33" s="214"/>
      <c r="AA33" s="203"/>
      <c r="AB33" s="28"/>
      <c r="AC33" s="28"/>
    </row>
    <row r="34" spans="1:29" s="14" customFormat="1" ht="15.75" customHeight="1" x14ac:dyDescent="0.25">
      <c r="A34" s="28"/>
      <c r="B34" s="28"/>
      <c r="C34" s="199" t="s">
        <v>1</v>
      </c>
      <c r="D34" s="200" t="s">
        <v>10</v>
      </c>
      <c r="E34" s="314" t="s">
        <v>103</v>
      </c>
      <c r="F34" s="314"/>
      <c r="G34" s="314"/>
      <c r="H34" s="314"/>
      <c r="I34" s="314"/>
      <c r="J34" s="314"/>
      <c r="K34" s="314"/>
      <c r="L34" s="314"/>
      <c r="M34" s="314"/>
      <c r="N34" s="315"/>
      <c r="O34" s="28"/>
      <c r="P34" s="303" t="s">
        <v>108</v>
      </c>
      <c r="Q34" s="143"/>
      <c r="R34" s="143"/>
      <c r="S34" s="143"/>
      <c r="T34" s="143"/>
      <c r="U34" s="145"/>
      <c r="V34" s="183"/>
      <c r="W34" s="183"/>
      <c r="X34" s="131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6"/>
      <c r="D35" s="247"/>
      <c r="E35" s="316"/>
      <c r="F35" s="316"/>
      <c r="G35" s="316"/>
      <c r="H35" s="316"/>
      <c r="I35" s="316"/>
      <c r="J35" s="316"/>
      <c r="K35" s="316"/>
      <c r="L35" s="316"/>
      <c r="M35" s="316"/>
      <c r="N35" s="317"/>
      <c r="O35" s="28"/>
      <c r="P35" s="303"/>
      <c r="Q35" s="143"/>
      <c r="R35" s="144" t="s">
        <v>111</v>
      </c>
      <c r="S35" s="183"/>
      <c r="T35" s="176"/>
      <c r="U35" s="183"/>
      <c r="V35" s="145"/>
      <c r="W35" s="145"/>
      <c r="X35" s="131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6"/>
      <c r="D36" s="247"/>
      <c r="E36" s="316"/>
      <c r="F36" s="316"/>
      <c r="G36" s="316"/>
      <c r="H36" s="316"/>
      <c r="I36" s="316"/>
      <c r="J36" s="316"/>
      <c r="K36" s="316"/>
      <c r="L36" s="316"/>
      <c r="M36" s="316"/>
      <c r="N36" s="317"/>
      <c r="O36" s="28"/>
      <c r="P36" s="303"/>
      <c r="Q36" s="294">
        <f>TRUNC($U$33-$Q$33,6)</f>
        <v>0</v>
      </c>
      <c r="R36" s="295"/>
      <c r="S36" s="296"/>
      <c r="T36" s="176"/>
      <c r="U36" s="144" t="s">
        <v>40</v>
      </c>
      <c r="V36" s="143"/>
      <c r="W36" s="144" t="s">
        <v>40</v>
      </c>
      <c r="X36" s="184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6"/>
      <c r="D37" s="247"/>
      <c r="E37" s="316"/>
      <c r="F37" s="316"/>
      <c r="G37" s="316"/>
      <c r="H37" s="316"/>
      <c r="I37" s="316"/>
      <c r="J37" s="316"/>
      <c r="K37" s="316"/>
      <c r="L37" s="316"/>
      <c r="M37" s="316"/>
      <c r="N37" s="317"/>
      <c r="O37" s="28"/>
      <c r="P37" s="303"/>
      <c r="Q37" s="297"/>
      <c r="R37" s="298"/>
      <c r="S37" s="299"/>
      <c r="T37" s="180"/>
      <c r="U37" s="186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5"/>
      <c r="W37" s="187">
        <f ca="1">$U$37+$V$33</f>
        <v>-2.1041666666666665</v>
      </c>
      <c r="X37" s="184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6"/>
      <c r="D38" s="247"/>
      <c r="E38" s="316"/>
      <c r="F38" s="316"/>
      <c r="G38" s="316"/>
      <c r="H38" s="316"/>
      <c r="I38" s="316"/>
      <c r="J38" s="316"/>
      <c r="K38" s="316"/>
      <c r="L38" s="316"/>
      <c r="M38" s="316"/>
      <c r="N38" s="317"/>
      <c r="O38" s="28"/>
      <c r="P38" s="303"/>
      <c r="Q38" s="300" t="s">
        <v>124</v>
      </c>
      <c r="R38" s="300"/>
      <c r="S38" s="300"/>
      <c r="T38" s="145"/>
      <c r="U38" s="145" t="s">
        <v>125</v>
      </c>
      <c r="V38" s="185"/>
      <c r="W38" s="145" t="s">
        <v>128</v>
      </c>
      <c r="X38" s="177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8"/>
      <c r="D39" s="249"/>
      <c r="E39" s="311"/>
      <c r="F39" s="312"/>
      <c r="G39" s="312"/>
      <c r="H39" s="312"/>
      <c r="I39" s="312"/>
      <c r="J39" s="312"/>
      <c r="K39" s="312"/>
      <c r="L39" s="312"/>
      <c r="M39" s="312"/>
      <c r="N39" s="313"/>
      <c r="O39" s="28"/>
      <c r="P39" s="303"/>
      <c r="Q39" s="145"/>
      <c r="R39" s="145"/>
      <c r="S39" s="145"/>
      <c r="T39" s="145"/>
      <c r="U39" s="145"/>
      <c r="V39" s="185"/>
      <c r="W39" s="145" t="s">
        <v>127</v>
      </c>
      <c r="X39" s="177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8"/>
      <c r="D40" s="249"/>
      <c r="E40" s="311"/>
      <c r="F40" s="312"/>
      <c r="G40" s="312"/>
      <c r="H40" s="312"/>
      <c r="I40" s="312"/>
      <c r="J40" s="312"/>
      <c r="K40" s="312"/>
      <c r="L40" s="312"/>
      <c r="M40" s="312"/>
      <c r="N40" s="313"/>
      <c r="O40" s="28"/>
      <c r="P40" s="303"/>
      <c r="Q40" s="145"/>
      <c r="R40" s="145"/>
      <c r="S40" s="294">
        <f ca="1">TRUNC(SUM($T$33:$X$33)-SUM($P$33:$S$33),6)</f>
        <v>0</v>
      </c>
      <c r="T40" s="295"/>
      <c r="U40" s="296"/>
      <c r="V40" s="185"/>
      <c r="W40" s="145"/>
      <c r="X40" s="177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8"/>
      <c r="D41" s="249"/>
      <c r="E41" s="311"/>
      <c r="F41" s="312"/>
      <c r="G41" s="312"/>
      <c r="H41" s="312"/>
      <c r="I41" s="312"/>
      <c r="J41" s="312"/>
      <c r="K41" s="312"/>
      <c r="L41" s="312"/>
      <c r="M41" s="312"/>
      <c r="N41" s="313"/>
      <c r="O41" s="28"/>
      <c r="P41" s="303"/>
      <c r="Q41" s="145"/>
      <c r="R41" s="145"/>
      <c r="S41" s="297"/>
      <c r="T41" s="298"/>
      <c r="U41" s="299"/>
      <c r="V41" s="185"/>
      <c r="W41" s="145"/>
      <c r="X41" s="177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8"/>
      <c r="D42" s="249"/>
      <c r="E42" s="311"/>
      <c r="F42" s="312"/>
      <c r="G42" s="312"/>
      <c r="H42" s="312"/>
      <c r="I42" s="312"/>
      <c r="J42" s="312"/>
      <c r="K42" s="312"/>
      <c r="L42" s="312"/>
      <c r="M42" s="312"/>
      <c r="N42" s="313"/>
      <c r="O42" s="28"/>
      <c r="P42" s="303"/>
      <c r="Q42" s="145"/>
      <c r="R42" s="145"/>
      <c r="S42" s="300" t="s">
        <v>126</v>
      </c>
      <c r="T42" s="300"/>
      <c r="U42" s="300"/>
      <c r="V42" s="185"/>
      <c r="W42" s="145"/>
      <c r="X42" s="177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8"/>
      <c r="D43" s="249"/>
      <c r="E43" s="307"/>
      <c r="F43" s="307"/>
      <c r="G43" s="307"/>
      <c r="H43" s="307"/>
      <c r="I43" s="307"/>
      <c r="J43" s="307"/>
      <c r="K43" s="307"/>
      <c r="L43" s="307"/>
      <c r="M43" s="307"/>
      <c r="N43" s="308"/>
      <c r="O43" s="28"/>
      <c r="P43" s="304"/>
      <c r="Q43" s="178"/>
      <c r="R43" s="178"/>
      <c r="S43" s="178"/>
      <c r="T43" s="178"/>
      <c r="U43" s="178"/>
      <c r="V43" s="178"/>
      <c r="W43" s="178"/>
      <c r="X43" s="179"/>
      <c r="Y43" s="28"/>
      <c r="Z43" s="28"/>
      <c r="AA43" s="203"/>
      <c r="AB43" s="28"/>
      <c r="AC43" s="28"/>
    </row>
    <row r="44" spans="1:29" s="14" customFormat="1" ht="15" customHeight="1" x14ac:dyDescent="0.25">
      <c r="A44" s="28"/>
      <c r="B44" s="28"/>
      <c r="C44" s="248"/>
      <c r="D44" s="249"/>
      <c r="E44" s="307"/>
      <c r="F44" s="307"/>
      <c r="G44" s="307"/>
      <c r="H44" s="307"/>
      <c r="I44" s="307"/>
      <c r="J44" s="307"/>
      <c r="K44" s="307"/>
      <c r="L44" s="307"/>
      <c r="M44" s="307"/>
      <c r="N44" s="308"/>
      <c r="O44" s="28"/>
      <c r="P44" s="93"/>
      <c r="Q44" s="93"/>
      <c r="R44" s="93"/>
      <c r="S44" s="201"/>
      <c r="T44" s="93"/>
      <c r="U44" s="93"/>
      <c r="V44" s="93"/>
      <c r="W44" s="93"/>
      <c r="X44" s="93"/>
      <c r="Y44" s="28"/>
      <c r="Z44" s="28"/>
      <c r="AA44" s="202"/>
      <c r="AB44" s="28"/>
      <c r="AC44" s="28"/>
    </row>
    <row r="45" spans="1:29" s="14" customFormat="1" ht="15" customHeight="1" x14ac:dyDescent="0.25">
      <c r="A45" s="28"/>
      <c r="B45" s="28"/>
      <c r="C45" s="248"/>
      <c r="D45" s="249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3"/>
      <c r="AB45" s="28"/>
      <c r="AC45" s="28"/>
    </row>
    <row r="46" spans="1:29" s="14" customFormat="1" ht="15" customHeight="1" x14ac:dyDescent="0.25">
      <c r="A46" s="28"/>
      <c r="B46" s="28"/>
      <c r="C46" s="248"/>
      <c r="D46" s="249"/>
      <c r="E46" s="307"/>
      <c r="F46" s="307"/>
      <c r="G46" s="307"/>
      <c r="H46" s="307"/>
      <c r="I46" s="307"/>
      <c r="J46" s="307"/>
      <c r="K46" s="307"/>
      <c r="L46" s="307"/>
      <c r="M46" s="307"/>
      <c r="N46" s="308"/>
      <c r="O46" s="202"/>
      <c r="P46" s="204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3"/>
      <c r="AB46" s="28"/>
      <c r="AC46" s="28"/>
    </row>
    <row r="47" spans="1:29" s="14" customFormat="1" ht="15" customHeight="1" thickBot="1" x14ac:dyDescent="0.3">
      <c r="A47" s="28"/>
      <c r="B47" s="28"/>
      <c r="C47" s="250"/>
      <c r="D47" s="251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5"/>
      <c r="AB47" s="28"/>
      <c r="AC47" s="28"/>
    </row>
    <row r="48" spans="1:29" s="14" customFormat="1" ht="14.25" customHeight="1" x14ac:dyDescent="0.25">
      <c r="A48" s="206"/>
      <c r="B48" s="206"/>
      <c r="C48" s="252"/>
      <c r="D48" s="253"/>
      <c r="E48" s="253"/>
      <c r="F48" s="253"/>
      <c r="G48" s="253"/>
      <c r="H48" s="253"/>
      <c r="I48" s="253"/>
      <c r="J48" s="253"/>
      <c r="K48" s="253"/>
      <c r="L48" s="252"/>
      <c r="M48" s="252"/>
      <c r="N48" s="252"/>
      <c r="O48" s="28"/>
      <c r="P48" s="28"/>
      <c r="Q48" s="28"/>
      <c r="R48" s="28"/>
      <c r="S48" s="28"/>
      <c r="T48" s="93"/>
      <c r="U48" s="28"/>
      <c r="V48" s="28"/>
      <c r="W48" s="28"/>
      <c r="X48" s="207"/>
      <c r="Y48" s="205"/>
      <c r="Z48" s="207"/>
      <c r="AA48" s="208"/>
      <c r="AB48" s="28"/>
      <c r="AC48" s="28"/>
    </row>
    <row r="49" spans="1:29" s="3" customFormat="1" ht="15.75" x14ac:dyDescent="0.25">
      <c r="A49" s="28"/>
      <c r="B49" s="28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9"/>
      <c r="Z49" s="204"/>
      <c r="AA49" s="203"/>
      <c r="AB49" s="28"/>
      <c r="AC49" s="28"/>
    </row>
    <row r="50" spans="1:29" s="3" customFormat="1" ht="15.75" x14ac:dyDescent="0.25">
      <c r="A50" s="210"/>
      <c r="B50" s="210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2"/>
      <c r="N50" s="252"/>
      <c r="O50" s="28"/>
      <c r="P50" s="93"/>
      <c r="Q50" s="93"/>
      <c r="R50" s="93"/>
      <c r="S50" s="93"/>
      <c r="T50" s="93"/>
      <c r="U50" s="93"/>
      <c r="V50" s="93"/>
      <c r="W50" s="93"/>
      <c r="X50" s="207"/>
      <c r="Y50" s="205"/>
      <c r="Z50" s="211"/>
      <c r="AA50" s="203"/>
      <c r="AB50" s="28"/>
      <c r="AC50" s="28"/>
    </row>
    <row r="51" spans="1:29" s="3" customFormat="1" ht="15.75" x14ac:dyDescent="0.25">
      <c r="A51" s="210"/>
      <c r="B51" s="210"/>
      <c r="C51" s="253"/>
      <c r="D51" s="253"/>
      <c r="E51" s="253"/>
      <c r="F51" s="253"/>
      <c r="G51" s="253"/>
      <c r="H51" s="253"/>
      <c r="I51" s="253"/>
      <c r="J51" s="253"/>
      <c r="K51" s="253"/>
      <c r="L51" s="253"/>
      <c r="M51" s="252"/>
      <c r="N51" s="252"/>
      <c r="O51" s="28"/>
      <c r="P51" s="93"/>
      <c r="Q51" s="93"/>
      <c r="R51" s="93"/>
      <c r="S51" s="93"/>
      <c r="T51" s="93"/>
      <c r="U51" s="93"/>
      <c r="V51" s="93"/>
      <c r="W51" s="93"/>
      <c r="X51" s="212"/>
      <c r="Y51" s="208"/>
      <c r="Z51" s="93"/>
      <c r="AA51" s="203"/>
      <c r="AB51" s="28"/>
      <c r="AC51" s="28"/>
    </row>
    <row r="52" spans="1:29" s="3" customFormat="1" ht="15.75" x14ac:dyDescent="0.25">
      <c r="A52" s="210"/>
      <c r="B52" s="210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2"/>
      <c r="N52" s="252"/>
      <c r="O52" s="28"/>
      <c r="P52" s="93"/>
      <c r="Q52" s="93"/>
      <c r="R52" s="93"/>
      <c r="S52" s="93"/>
      <c r="T52" s="93"/>
      <c r="U52" s="93"/>
      <c r="V52" s="93"/>
      <c r="W52" s="93"/>
      <c r="X52" s="207"/>
      <c r="Y52" s="205"/>
      <c r="Z52" s="207"/>
      <c r="AA52" s="203"/>
      <c r="AB52" s="28"/>
      <c r="AC52" s="28"/>
    </row>
    <row r="53" spans="1:29" s="3" customFormat="1" ht="15.75" x14ac:dyDescent="0.25">
      <c r="A53" s="210"/>
      <c r="B53" s="210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2"/>
      <c r="N53" s="252"/>
      <c r="O53" s="28"/>
      <c r="P53" s="93"/>
      <c r="Q53" s="93"/>
      <c r="R53" s="93"/>
      <c r="S53" s="93"/>
      <c r="T53" s="93"/>
      <c r="U53" s="93"/>
      <c r="V53" s="93"/>
      <c r="W53" s="93"/>
      <c r="X53" s="207"/>
      <c r="Y53" s="205"/>
      <c r="Z53" s="207"/>
      <c r="AA53" s="203"/>
      <c r="AB53" s="28"/>
      <c r="AC53" s="28"/>
    </row>
    <row r="54" spans="1:29" s="3" customFormat="1" ht="15.75" x14ac:dyDescent="0.25">
      <c r="A54" s="210"/>
      <c r="B54" s="210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93"/>
      <c r="P54" s="93"/>
      <c r="Q54" s="93"/>
      <c r="R54" s="93"/>
      <c r="S54" s="93"/>
      <c r="T54" s="93"/>
      <c r="U54" s="93"/>
      <c r="V54" s="93"/>
      <c r="W54" s="93"/>
      <c r="X54" s="207"/>
      <c r="Y54" s="205"/>
      <c r="Z54" s="207"/>
      <c r="AA54" s="203"/>
      <c r="AB54" s="28"/>
      <c r="AC54" s="28"/>
    </row>
    <row r="55" spans="1:29" s="3" customFormat="1" ht="15.75" x14ac:dyDescent="0.25">
      <c r="A55" s="210"/>
      <c r="B55" s="210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93"/>
      <c r="P55" s="93"/>
      <c r="Q55" s="93"/>
      <c r="R55" s="93"/>
      <c r="S55" s="93"/>
      <c r="T55" s="93"/>
      <c r="U55" s="93"/>
      <c r="V55" s="93"/>
      <c r="W55" s="93"/>
      <c r="X55" s="207"/>
      <c r="Y55" s="205"/>
      <c r="Z55" s="207"/>
      <c r="AA55" s="203"/>
      <c r="AB55" s="28"/>
      <c r="AC55" s="28"/>
    </row>
    <row r="56" spans="1:29" s="3" customFormat="1" ht="15.75" x14ac:dyDescent="0.25">
      <c r="A56" s="210"/>
      <c r="B56" s="210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93"/>
      <c r="P56" s="93"/>
      <c r="Q56" s="93"/>
      <c r="R56" s="93"/>
      <c r="S56" s="93"/>
      <c r="T56" s="93"/>
      <c r="U56" s="93"/>
      <c r="V56" s="93"/>
      <c r="W56" s="93"/>
      <c r="X56" s="207"/>
      <c r="Y56" s="205"/>
      <c r="Z56" s="207"/>
      <c r="AA56" s="203"/>
      <c r="AB56" s="28"/>
      <c r="AC56" s="28"/>
    </row>
    <row r="57" spans="1:29" s="3" customFormat="1" ht="15.75" x14ac:dyDescent="0.25">
      <c r="A57" s="210"/>
      <c r="B57" s="210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93"/>
      <c r="P57" s="93"/>
      <c r="Q57" s="93"/>
      <c r="R57" s="93"/>
      <c r="S57" s="93"/>
      <c r="T57" s="93"/>
      <c r="U57" s="93"/>
      <c r="V57" s="93"/>
      <c r="W57" s="93"/>
      <c r="X57" s="207"/>
      <c r="Y57" s="205"/>
      <c r="Z57" s="207"/>
      <c r="AA57" s="203"/>
      <c r="AB57" s="28"/>
      <c r="AC57" s="28"/>
    </row>
    <row r="58" spans="1:29" s="3" customFormat="1" ht="15.75" x14ac:dyDescent="0.25">
      <c r="A58" s="210"/>
      <c r="B58" s="210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93"/>
      <c r="P58" s="93"/>
      <c r="Q58" s="93"/>
      <c r="R58" s="93"/>
      <c r="S58" s="93"/>
      <c r="T58" s="93"/>
      <c r="U58" s="93"/>
      <c r="V58" s="93"/>
      <c r="W58" s="93"/>
      <c r="X58" s="207"/>
      <c r="Y58" s="205"/>
      <c r="Z58" s="207"/>
      <c r="AA58" s="203"/>
      <c r="AB58" s="28"/>
      <c r="AC58" s="28"/>
    </row>
    <row r="59" spans="1:29" s="3" customFormat="1" ht="15.75" x14ac:dyDescent="0.25">
      <c r="A59" s="210"/>
      <c r="B59" s="210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93"/>
      <c r="P59" s="93"/>
      <c r="Q59" s="93"/>
      <c r="R59" s="93"/>
      <c r="S59" s="93"/>
      <c r="T59" s="93"/>
      <c r="U59" s="93"/>
      <c r="V59" s="93"/>
      <c r="W59" s="93"/>
      <c r="X59" s="207"/>
      <c r="Y59" s="205"/>
      <c r="Z59" s="207"/>
      <c r="AA59" s="203"/>
      <c r="AB59" s="28"/>
      <c r="AC59" s="28"/>
    </row>
    <row r="60" spans="1:29" s="3" customFormat="1" ht="15.75" x14ac:dyDescent="0.25">
      <c r="A60" s="210"/>
      <c r="B60" s="210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93"/>
      <c r="P60" s="93"/>
      <c r="Q60" s="93"/>
      <c r="R60" s="93"/>
      <c r="S60" s="93"/>
      <c r="T60" s="93"/>
      <c r="U60" s="93"/>
      <c r="V60" s="93"/>
      <c r="W60" s="93"/>
      <c r="X60" s="207"/>
      <c r="Y60" s="205"/>
      <c r="Z60" s="207"/>
      <c r="AA60" s="203"/>
      <c r="AB60" s="28"/>
      <c r="AC60" s="28"/>
    </row>
    <row r="61" spans="1:29" s="3" customFormat="1" ht="15.75" x14ac:dyDescent="0.25">
      <c r="A61" s="210"/>
      <c r="B61" s="210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93"/>
      <c r="P61" s="93"/>
      <c r="Q61" s="93"/>
      <c r="R61" s="93"/>
      <c r="S61" s="93"/>
      <c r="T61" s="93"/>
      <c r="U61" s="93"/>
      <c r="V61" s="93"/>
      <c r="W61" s="93"/>
      <c r="X61" s="207"/>
      <c r="Y61" s="205"/>
      <c r="Z61" s="207"/>
      <c r="AA61" s="203"/>
      <c r="AB61" s="28"/>
      <c r="AC61" s="28"/>
    </row>
    <row r="62" spans="1:29" s="3" customFormat="1" ht="15.75" x14ac:dyDescent="0.25">
      <c r="A62" s="210"/>
      <c r="B62" s="210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93"/>
      <c r="P62" s="93"/>
      <c r="Q62" s="93"/>
      <c r="R62" s="93"/>
      <c r="S62" s="93"/>
      <c r="T62" s="93"/>
      <c r="U62" s="93"/>
      <c r="V62" s="93"/>
      <c r="W62" s="93"/>
      <c r="X62" s="207"/>
      <c r="Y62" s="205"/>
      <c r="Z62" s="207"/>
      <c r="AA62" s="203"/>
      <c r="AB62" s="28"/>
      <c r="AC62" s="28"/>
    </row>
    <row r="63" spans="1:29" s="3" customFormat="1" ht="15.75" x14ac:dyDescent="0.25">
      <c r="A63" s="210"/>
      <c r="B63" s="210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93"/>
      <c r="P63" s="93"/>
      <c r="Q63" s="93"/>
      <c r="R63" s="93"/>
      <c r="S63" s="93"/>
      <c r="T63" s="93"/>
      <c r="U63" s="93"/>
      <c r="V63" s="93"/>
      <c r="W63" s="93"/>
      <c r="X63" s="207"/>
      <c r="Y63" s="205"/>
      <c r="Z63" s="207"/>
      <c r="AA63" s="203"/>
      <c r="AB63" s="28"/>
      <c r="AC63" s="28"/>
    </row>
    <row r="64" spans="1:29" s="3" customFormat="1" ht="15.75" x14ac:dyDescent="0.25">
      <c r="A64" s="210"/>
      <c r="B64" s="210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93"/>
      <c r="P64" s="93"/>
      <c r="Q64" s="93"/>
      <c r="R64" s="93"/>
      <c r="S64" s="93"/>
      <c r="T64" s="93"/>
      <c r="U64" s="93"/>
      <c r="V64" s="93"/>
      <c r="W64" s="93"/>
      <c r="X64" s="207"/>
      <c r="Y64" s="205"/>
      <c r="Z64" s="207"/>
      <c r="AA64" s="203"/>
      <c r="AB64" s="28"/>
      <c r="AC64" s="28"/>
    </row>
    <row r="65" spans="1:29" s="3" customFormat="1" ht="15.75" x14ac:dyDescent="0.25">
      <c r="A65" s="210"/>
      <c r="B65" s="210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93"/>
      <c r="P65" s="93"/>
      <c r="Q65" s="93"/>
      <c r="R65" s="93"/>
      <c r="S65" s="93"/>
      <c r="T65" s="93"/>
      <c r="U65" s="93"/>
      <c r="V65" s="93"/>
      <c r="W65" s="93"/>
      <c r="X65" s="207"/>
      <c r="Y65" s="205"/>
      <c r="Z65" s="207"/>
      <c r="AA65" s="203"/>
      <c r="AB65" s="28"/>
      <c r="AC65" s="28"/>
    </row>
    <row r="66" spans="1:29" s="3" customFormat="1" ht="15.75" x14ac:dyDescent="0.25">
      <c r="A66" s="210"/>
      <c r="B66" s="210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93"/>
      <c r="P66" s="93"/>
      <c r="Q66" s="93"/>
      <c r="R66" s="93"/>
      <c r="S66" s="93"/>
      <c r="T66" s="93"/>
      <c r="U66" s="93"/>
      <c r="V66" s="93"/>
      <c r="W66" s="93"/>
      <c r="X66" s="207"/>
      <c r="Y66" s="205"/>
      <c r="Z66" s="207"/>
      <c r="AA66" s="203"/>
      <c r="AB66" s="28"/>
      <c r="AC66" s="28"/>
    </row>
    <row r="67" spans="1:29" s="3" customFormat="1" ht="15.75" x14ac:dyDescent="0.25">
      <c r="A67" s="210"/>
      <c r="B67" s="210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93"/>
      <c r="P67" s="93"/>
      <c r="Q67" s="93"/>
      <c r="R67" s="93"/>
      <c r="S67" s="93"/>
      <c r="T67" s="93"/>
      <c r="U67" s="93"/>
      <c r="V67" s="93"/>
      <c r="W67" s="93"/>
      <c r="X67" s="207"/>
      <c r="Y67" s="205"/>
      <c r="Z67" s="207"/>
      <c r="AA67" s="203"/>
      <c r="AB67" s="28"/>
      <c r="AC67" s="28"/>
    </row>
    <row r="68" spans="1:29" s="3" customFormat="1" ht="15.75" x14ac:dyDescent="0.25">
      <c r="A68" s="210"/>
      <c r="B68" s="210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93"/>
      <c r="P68" s="93"/>
      <c r="Q68" s="93"/>
      <c r="R68" s="93"/>
      <c r="S68" s="93"/>
      <c r="T68" s="93"/>
      <c r="U68" s="93"/>
      <c r="V68" s="93"/>
      <c r="W68" s="93"/>
      <c r="X68" s="207"/>
      <c r="Y68" s="205"/>
      <c r="Z68" s="207"/>
      <c r="AA68" s="203"/>
      <c r="AB68" s="28"/>
      <c r="AC68" s="28"/>
    </row>
    <row r="69" spans="1:29" s="3" customFormat="1" ht="15.75" x14ac:dyDescent="0.25">
      <c r="A69" s="210"/>
      <c r="B69" s="210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93"/>
      <c r="P69" s="93"/>
      <c r="Q69" s="93"/>
      <c r="R69" s="93"/>
      <c r="S69" s="93"/>
      <c r="T69" s="93"/>
      <c r="U69" s="93"/>
      <c r="V69" s="93"/>
      <c r="W69" s="93"/>
      <c r="X69" s="207"/>
      <c r="Y69" s="205"/>
      <c r="Z69" s="207"/>
      <c r="AA69" s="203"/>
      <c r="AB69" s="28"/>
      <c r="AC69" s="28"/>
    </row>
    <row r="70" spans="1:29" s="3" customFormat="1" ht="15.75" x14ac:dyDescent="0.25">
      <c r="A70" s="210"/>
      <c r="B70" s="210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93"/>
      <c r="P70" s="93"/>
      <c r="Q70" s="93"/>
      <c r="R70" s="93"/>
      <c r="S70" s="93"/>
      <c r="T70" s="93"/>
      <c r="U70" s="93"/>
      <c r="V70" s="93"/>
      <c r="W70" s="93"/>
      <c r="X70" s="207"/>
      <c r="Y70" s="205"/>
      <c r="Z70" s="207"/>
      <c r="AA70" s="203"/>
      <c r="AB70" s="28"/>
      <c r="AC70" s="28"/>
    </row>
    <row r="71" spans="1:29" s="3" customFormat="1" ht="15.75" x14ac:dyDescent="0.25">
      <c r="A71" s="210"/>
      <c r="B71" s="210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93"/>
      <c r="P71" s="93"/>
      <c r="Q71" s="93"/>
      <c r="R71" s="93"/>
      <c r="S71" s="93"/>
      <c r="T71" s="93"/>
      <c r="U71" s="93"/>
      <c r="V71" s="93"/>
      <c r="W71" s="93"/>
      <c r="X71" s="207"/>
      <c r="Y71" s="205"/>
      <c r="Z71" s="207"/>
      <c r="AA71" s="203"/>
      <c r="AB71" s="28"/>
      <c r="AC71" s="28"/>
    </row>
    <row r="72" spans="1:29" s="3" customFormat="1" ht="15.75" x14ac:dyDescent="0.25">
      <c r="A72" s="210"/>
      <c r="B72" s="210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93"/>
      <c r="P72" s="93"/>
      <c r="Q72" s="93"/>
      <c r="R72" s="93"/>
      <c r="S72" s="93"/>
      <c r="T72" s="93"/>
      <c r="U72" s="93"/>
      <c r="V72" s="93"/>
      <c r="W72" s="93"/>
      <c r="X72" s="207"/>
      <c r="Y72" s="205"/>
      <c r="Z72" s="207"/>
      <c r="AA72" s="203"/>
      <c r="AB72" s="28"/>
      <c r="AC72" s="28"/>
    </row>
    <row r="73" spans="1:29" s="3" customFormat="1" ht="15.75" x14ac:dyDescent="0.25">
      <c r="A73" s="210"/>
      <c r="B73" s="210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93"/>
      <c r="P73" s="93"/>
      <c r="Q73" s="93"/>
      <c r="R73" s="93"/>
      <c r="S73" s="93"/>
      <c r="T73" s="93"/>
      <c r="U73" s="93"/>
      <c r="V73" s="93"/>
      <c r="W73" s="93"/>
      <c r="X73" s="207"/>
      <c r="Y73" s="205"/>
      <c r="Z73" s="207"/>
      <c r="AA73" s="203"/>
      <c r="AB73" s="28"/>
      <c r="AC73" s="28"/>
    </row>
    <row r="74" spans="1:29" s="3" customFormat="1" ht="15.75" x14ac:dyDescent="0.25">
      <c r="A74" s="210"/>
      <c r="B74" s="210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93"/>
      <c r="P74" s="93"/>
      <c r="Q74" s="93"/>
      <c r="R74" s="93"/>
      <c r="S74" s="93"/>
      <c r="T74" s="93"/>
      <c r="U74" s="93"/>
      <c r="V74" s="93"/>
      <c r="W74" s="93"/>
      <c r="X74" s="207"/>
      <c r="Y74" s="205"/>
      <c r="Z74" s="207"/>
      <c r="AA74" s="203"/>
      <c r="AB74" s="28"/>
      <c r="AC74" s="28"/>
    </row>
    <row r="75" spans="1:29" s="3" customFormat="1" ht="15.75" x14ac:dyDescent="0.25">
      <c r="A75" s="210"/>
      <c r="B75" s="210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7"/>
      <c r="Y75" s="205"/>
      <c r="Z75" s="207"/>
      <c r="AA75" s="203"/>
      <c r="AB75" s="28"/>
      <c r="AC75" s="28"/>
    </row>
    <row r="76" spans="1:29" s="3" customFormat="1" ht="15.75" x14ac:dyDescent="0.25">
      <c r="A76" s="210"/>
      <c r="B76" s="210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7"/>
      <c r="Y76" s="205"/>
      <c r="Z76" s="207"/>
      <c r="AA76" s="203"/>
      <c r="AB76" s="28"/>
      <c r="AC76" s="28"/>
    </row>
    <row r="77" spans="1:29" s="3" customFormat="1" ht="15.75" x14ac:dyDescent="0.25">
      <c r="A77" s="210"/>
      <c r="B77" s="210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7"/>
      <c r="Y77" s="205"/>
      <c r="Z77" s="207"/>
      <c r="AA77" s="203"/>
      <c r="AB77" s="28"/>
      <c r="AC77" s="28"/>
    </row>
    <row r="78" spans="1:29" s="3" customFormat="1" ht="15.75" x14ac:dyDescent="0.25">
      <c r="A78" s="210"/>
      <c r="B78" s="210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7"/>
      <c r="Y78" s="205"/>
      <c r="Z78" s="207"/>
      <c r="AA78" s="203"/>
      <c r="AB78" s="28"/>
      <c r="AC78" s="28"/>
    </row>
    <row r="79" spans="1:29" s="3" customFormat="1" ht="15.75" x14ac:dyDescent="0.25">
      <c r="A79" s="210"/>
      <c r="B79" s="210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7"/>
      <c r="Y79" s="205"/>
      <c r="Z79" s="207"/>
      <c r="AA79" s="203"/>
      <c r="AB79" s="28"/>
      <c r="AC79" s="28"/>
    </row>
    <row r="80" spans="1:29" s="3" customFormat="1" ht="15.75" x14ac:dyDescent="0.25">
      <c r="A80" s="210"/>
      <c r="B80" s="210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7"/>
      <c r="Y80" s="205"/>
      <c r="Z80" s="207"/>
      <c r="AA80" s="203"/>
      <c r="AB80" s="28"/>
      <c r="AC80" s="28"/>
    </row>
    <row r="81" spans="1:29" s="3" customFormat="1" ht="15.75" x14ac:dyDescent="0.25">
      <c r="A81" s="210"/>
      <c r="B81" s="210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7"/>
      <c r="Y81" s="205"/>
      <c r="Z81" s="207"/>
      <c r="AA81" s="203"/>
      <c r="AB81" s="28"/>
      <c r="AC81" s="28"/>
    </row>
    <row r="82" spans="1:29" s="3" customFormat="1" ht="15.75" x14ac:dyDescent="0.25">
      <c r="A82" s="210"/>
      <c r="B82" s="210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7"/>
      <c r="Y82" s="205"/>
      <c r="Z82" s="207"/>
      <c r="AA82" s="203"/>
      <c r="AB82" s="28"/>
      <c r="AC82" s="28"/>
    </row>
    <row r="83" spans="1:29" s="3" customFormat="1" ht="15.75" x14ac:dyDescent="0.25">
      <c r="A83" s="210"/>
      <c r="B83" s="210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7"/>
      <c r="Y83" s="205"/>
      <c r="Z83" s="207"/>
      <c r="AA83" s="203"/>
      <c r="AB83" s="28"/>
      <c r="AC83" s="28"/>
    </row>
    <row r="84" spans="1:29" s="3" customFormat="1" ht="15.75" x14ac:dyDescent="0.25">
      <c r="A84" s="210"/>
      <c r="B84" s="210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7"/>
      <c r="Y84" s="205"/>
      <c r="Z84" s="207"/>
      <c r="AA84" s="203"/>
      <c r="AB84" s="28"/>
      <c r="AC84" s="28"/>
    </row>
    <row r="85" spans="1:29" s="3" customFormat="1" ht="15.75" x14ac:dyDescent="0.25">
      <c r="A85" s="210"/>
      <c r="B85" s="210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7"/>
      <c r="Y85" s="205"/>
      <c r="Z85" s="207"/>
      <c r="AA85" s="203"/>
      <c r="AB85" s="28"/>
      <c r="AC85" s="28"/>
    </row>
    <row r="86" spans="1:29" s="3" customFormat="1" ht="15.75" x14ac:dyDescent="0.25">
      <c r="A86" s="210"/>
      <c r="B86" s="210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7"/>
      <c r="Y86" s="205"/>
      <c r="Z86" s="207"/>
      <c r="AA86" s="203"/>
      <c r="AB86" s="28"/>
      <c r="AC86" s="28"/>
    </row>
    <row r="87" spans="1:29" s="3" customFormat="1" ht="15.75" x14ac:dyDescent="0.25">
      <c r="A87" s="210"/>
      <c r="B87" s="210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7"/>
      <c r="Y87" s="205"/>
      <c r="Z87" s="207"/>
      <c r="AA87" s="203"/>
      <c r="AB87" s="28"/>
      <c r="AC87" s="28"/>
    </row>
    <row r="88" spans="1:29" s="3" customFormat="1" ht="15.75" x14ac:dyDescent="0.25">
      <c r="A88" s="210"/>
      <c r="B88" s="210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7"/>
      <c r="Y88" s="205"/>
      <c r="Z88" s="207"/>
      <c r="AA88" s="203"/>
      <c r="AB88" s="28"/>
      <c r="AC88" s="28"/>
    </row>
    <row r="89" spans="1:29" s="3" customFormat="1" ht="15.75" x14ac:dyDescent="0.25">
      <c r="A89" s="210"/>
      <c r="B89" s="210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7"/>
      <c r="Y89" s="205"/>
      <c r="Z89" s="207"/>
      <c r="AA89" s="203"/>
      <c r="AB89" s="28"/>
      <c r="AC89" s="28"/>
    </row>
    <row r="90" spans="1:29" s="3" customFormat="1" ht="15.75" x14ac:dyDescent="0.25">
      <c r="A90" s="210"/>
      <c r="B90" s="210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7"/>
      <c r="Y90" s="205"/>
      <c r="Z90" s="207"/>
      <c r="AA90" s="203"/>
      <c r="AB90" s="28"/>
      <c r="AC90" s="28"/>
    </row>
    <row r="91" spans="1:29" s="3" customFormat="1" ht="15.75" x14ac:dyDescent="0.25">
      <c r="A91" s="210"/>
      <c r="B91" s="210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7"/>
      <c r="Y91" s="205"/>
      <c r="Z91" s="207"/>
      <c r="AA91" s="203"/>
      <c r="AB91" s="28"/>
      <c r="AC91" s="28"/>
    </row>
    <row r="92" spans="1:29" s="3" customFormat="1" ht="15.75" x14ac:dyDescent="0.25">
      <c r="A92" s="210"/>
      <c r="B92" s="210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7"/>
      <c r="Y92" s="205"/>
      <c r="Z92" s="207"/>
      <c r="AA92" s="203"/>
      <c r="AB92" s="28"/>
      <c r="AC92" s="28"/>
    </row>
    <row r="93" spans="1:29" s="3" customFormat="1" ht="15.75" x14ac:dyDescent="0.25">
      <c r="A93" s="210"/>
      <c r="B93" s="210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7"/>
      <c r="Y93" s="205"/>
      <c r="Z93" s="207"/>
      <c r="AA93" s="203"/>
      <c r="AB93" s="28"/>
      <c r="AC93" s="28"/>
    </row>
    <row r="94" spans="1:29" s="3" customFormat="1" ht="15.75" x14ac:dyDescent="0.25">
      <c r="A94" s="210"/>
      <c r="B94" s="210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7"/>
      <c r="Y94" s="205"/>
      <c r="Z94" s="207"/>
      <c r="AA94" s="203"/>
      <c r="AB94" s="28"/>
      <c r="AC94" s="28"/>
    </row>
    <row r="95" spans="1:29" s="3" customFormat="1" ht="15.75" x14ac:dyDescent="0.25">
      <c r="A95" s="210"/>
      <c r="B95" s="210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7"/>
      <c r="Y95" s="205"/>
      <c r="Z95" s="207"/>
      <c r="AA95" s="203"/>
      <c r="AB95" s="28"/>
      <c r="AC95" s="28"/>
    </row>
    <row r="96" spans="1:29" s="3" customFormat="1" ht="15.75" x14ac:dyDescent="0.25">
      <c r="A96" s="210"/>
      <c r="B96" s="210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7"/>
      <c r="Y96" s="205"/>
      <c r="Z96" s="207"/>
      <c r="AA96" s="203"/>
      <c r="AB96" s="28"/>
      <c r="AC96" s="28"/>
    </row>
    <row r="97" spans="1:29" s="3" customFormat="1" ht="15.75" x14ac:dyDescent="0.25">
      <c r="A97" s="210"/>
      <c r="B97" s="210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7"/>
      <c r="Y97" s="205"/>
      <c r="Z97" s="207"/>
      <c r="AA97" s="203"/>
      <c r="AB97" s="28"/>
      <c r="AC97" s="28"/>
    </row>
    <row r="98" spans="1:29" s="3" customFormat="1" ht="15.75" x14ac:dyDescent="0.25">
      <c r="A98" s="210"/>
      <c r="B98" s="210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7"/>
      <c r="Y98" s="205"/>
      <c r="Z98" s="207"/>
      <c r="AA98" s="203"/>
      <c r="AB98" s="28"/>
      <c r="AC98" s="28"/>
    </row>
    <row r="99" spans="1:29" s="3" customFormat="1" ht="15.75" x14ac:dyDescent="0.25">
      <c r="A99" s="210"/>
      <c r="B99" s="210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7"/>
      <c r="Y99" s="205"/>
      <c r="Z99" s="207"/>
      <c r="AA99" s="203"/>
      <c r="AB99" s="28"/>
      <c r="AC99" s="28"/>
    </row>
    <row r="100" spans="1:29" s="3" customFormat="1" ht="15.75" x14ac:dyDescent="0.25">
      <c r="A100" s="210"/>
      <c r="B100" s="210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7"/>
      <c r="Y100" s="205"/>
      <c r="Z100" s="207"/>
      <c r="AA100" s="203"/>
      <c r="AB100" s="28"/>
      <c r="AC100" s="28"/>
    </row>
    <row r="101" spans="1:29" s="3" customFormat="1" ht="15.75" x14ac:dyDescent="0.25">
      <c r="A101" s="210"/>
      <c r="B101" s="210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7"/>
      <c r="Y101" s="205"/>
      <c r="Z101" s="207"/>
      <c r="AA101" s="203"/>
      <c r="AB101" s="28"/>
      <c r="AC101" s="28"/>
    </row>
    <row r="102" spans="1:29" s="3" customFormat="1" ht="15.75" x14ac:dyDescent="0.25">
      <c r="A102" s="210"/>
      <c r="B102" s="210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7"/>
      <c r="Y102" s="205"/>
      <c r="Z102" s="207"/>
      <c r="AA102" s="203"/>
      <c r="AB102" s="28"/>
      <c r="AC102" s="28"/>
    </row>
    <row r="103" spans="1:29" s="3" customFormat="1" ht="15.75" x14ac:dyDescent="0.25">
      <c r="A103" s="210"/>
      <c r="B103" s="210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7"/>
      <c r="Y103" s="205"/>
      <c r="Z103" s="207"/>
      <c r="AA103" s="203"/>
      <c r="AB103" s="28"/>
      <c r="AC103" s="28"/>
    </row>
    <row r="104" spans="1:29" s="3" customFormat="1" ht="15.75" x14ac:dyDescent="0.25">
      <c r="A104" s="210"/>
      <c r="B104" s="210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7"/>
      <c r="Y104" s="205"/>
      <c r="Z104" s="207"/>
      <c r="AA104" s="203"/>
      <c r="AB104" s="28"/>
      <c r="AC104" s="28"/>
    </row>
    <row r="105" spans="1:29" s="3" customFormat="1" ht="15.75" x14ac:dyDescent="0.25">
      <c r="A105" s="210"/>
      <c r="B105" s="210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7"/>
      <c r="Y105" s="205"/>
      <c r="Z105" s="207"/>
      <c r="AA105" s="203"/>
      <c r="AB105" s="28"/>
      <c r="AC105" s="28"/>
    </row>
    <row r="106" spans="1:29" s="3" customFormat="1" ht="15.75" x14ac:dyDescent="0.25">
      <c r="A106" s="210"/>
      <c r="B106" s="210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7"/>
      <c r="Y106" s="205"/>
      <c r="Z106" s="207"/>
      <c r="AA106" s="203"/>
      <c r="AB106" s="28"/>
      <c r="AC106" s="28"/>
    </row>
    <row r="107" spans="1:29" s="3" customFormat="1" ht="15.75" x14ac:dyDescent="0.25">
      <c r="A107" s="210"/>
      <c r="B107" s="210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7"/>
      <c r="Y107" s="205"/>
      <c r="Z107" s="207"/>
      <c r="AA107" s="203"/>
      <c r="AB107" s="28"/>
      <c r="AC107" s="28"/>
    </row>
    <row r="108" spans="1:29" s="3" customFormat="1" ht="15.75" x14ac:dyDescent="0.25">
      <c r="A108" s="210"/>
      <c r="B108" s="210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7"/>
      <c r="Y108" s="205"/>
      <c r="Z108" s="207"/>
      <c r="AA108" s="203"/>
      <c r="AB108" s="28"/>
      <c r="AC108" s="28"/>
    </row>
    <row r="109" spans="1:29" s="3" customFormat="1" ht="15.75" x14ac:dyDescent="0.25">
      <c r="A109" s="210"/>
      <c r="B109" s="210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7"/>
      <c r="Y109" s="205"/>
      <c r="Z109" s="207"/>
      <c r="AA109" s="203"/>
      <c r="AB109" s="28"/>
      <c r="AC109" s="28"/>
    </row>
    <row r="110" spans="1:29" s="3" customFormat="1" ht="15.75" x14ac:dyDescent="0.25">
      <c r="A110" s="210"/>
      <c r="B110" s="210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7"/>
      <c r="Y110" s="205"/>
      <c r="Z110" s="207"/>
      <c r="AA110" s="203"/>
      <c r="AB110" s="28"/>
      <c r="AC110" s="28"/>
    </row>
    <row r="111" spans="1:29" s="3" customFormat="1" ht="15.75" x14ac:dyDescent="0.25">
      <c r="A111" s="210"/>
      <c r="B111" s="210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7"/>
      <c r="Y111" s="205"/>
      <c r="Z111" s="207"/>
      <c r="AA111" s="203"/>
      <c r="AB111" s="28"/>
      <c r="AC111" s="28"/>
    </row>
    <row r="112" spans="1:29" s="3" customFormat="1" ht="15.75" x14ac:dyDescent="0.25">
      <c r="A112" s="210"/>
      <c r="B112" s="210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7"/>
      <c r="Y112" s="205"/>
      <c r="Z112" s="207"/>
      <c r="AA112" s="203"/>
      <c r="AB112" s="28"/>
      <c r="AC112" s="28"/>
    </row>
    <row r="113" spans="1:29" s="3" customFormat="1" ht="15.75" x14ac:dyDescent="0.25">
      <c r="A113" s="210"/>
      <c r="B113" s="210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7"/>
      <c r="Y113" s="205"/>
      <c r="Z113" s="207"/>
      <c r="AA113" s="203"/>
      <c r="AB113" s="28"/>
      <c r="AC113" s="28"/>
    </row>
    <row r="114" spans="1:29" s="3" customFormat="1" ht="15.75" x14ac:dyDescent="0.25">
      <c r="A114" s="210"/>
      <c r="B114" s="210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7"/>
      <c r="Y114" s="205"/>
      <c r="Z114" s="207"/>
      <c r="AA114" s="203"/>
      <c r="AB114" s="28"/>
      <c r="AC114" s="28"/>
    </row>
    <row r="115" spans="1:29" s="3" customFormat="1" ht="15.75" x14ac:dyDescent="0.25">
      <c r="A115" s="210"/>
      <c r="B115" s="210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7"/>
      <c r="Y115" s="205"/>
      <c r="Z115" s="207"/>
      <c r="AA115" s="203"/>
      <c r="AB115" s="28"/>
      <c r="AC115" s="28"/>
    </row>
    <row r="116" spans="1:29" s="3" customFormat="1" ht="15.75" x14ac:dyDescent="0.25">
      <c r="A116" s="210"/>
      <c r="B116" s="210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7"/>
      <c r="Y116" s="205"/>
      <c r="Z116" s="207"/>
      <c r="AA116" s="203"/>
      <c r="AB116" s="28"/>
      <c r="AC116" s="28"/>
    </row>
    <row r="117" spans="1:29" s="3" customFormat="1" ht="15.75" x14ac:dyDescent="0.25">
      <c r="A117" s="210"/>
      <c r="B117" s="210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7"/>
      <c r="Y117" s="205"/>
      <c r="Z117" s="207"/>
      <c r="AA117" s="203"/>
      <c r="AB117" s="28"/>
      <c r="AC117" s="28"/>
    </row>
    <row r="118" spans="1:29" s="3" customFormat="1" ht="15.75" x14ac:dyDescent="0.25">
      <c r="A118" s="210"/>
      <c r="B118" s="210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7"/>
      <c r="Y118" s="205"/>
      <c r="Z118" s="207"/>
      <c r="AA118" s="203"/>
      <c r="AB118" s="28"/>
      <c r="AC118" s="28"/>
    </row>
    <row r="119" spans="1:29" s="3" customFormat="1" ht="15.75" x14ac:dyDescent="0.25">
      <c r="A119" s="210"/>
      <c r="B119" s="210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7"/>
      <c r="Y119" s="205"/>
      <c r="Z119" s="207"/>
      <c r="AA119" s="203"/>
      <c r="AB119" s="28"/>
      <c r="AC119" s="28"/>
    </row>
    <row r="120" spans="1:29" s="3" customFormat="1" ht="15.75" x14ac:dyDescent="0.25">
      <c r="A120" s="210"/>
      <c r="B120" s="210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7"/>
      <c r="Y120" s="205"/>
      <c r="Z120" s="207"/>
      <c r="AA120" s="203"/>
      <c r="AB120" s="28"/>
      <c r="AC120" s="28"/>
    </row>
    <row r="121" spans="1:29" s="3" customFormat="1" ht="15.75" x14ac:dyDescent="0.25">
      <c r="A121" s="210"/>
      <c r="B121" s="210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7"/>
      <c r="Y121" s="205"/>
      <c r="Z121" s="207"/>
      <c r="AA121" s="203"/>
      <c r="AB121" s="28"/>
      <c r="AC121" s="28"/>
    </row>
    <row r="122" spans="1:29" s="3" customFormat="1" ht="15.75" x14ac:dyDescent="0.25">
      <c r="A122" s="210"/>
      <c r="B122" s="210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7"/>
      <c r="Y122" s="205"/>
      <c r="Z122" s="207"/>
      <c r="AA122" s="203"/>
      <c r="AB122" s="28"/>
      <c r="AC122" s="28"/>
    </row>
    <row r="123" spans="1:29" s="3" customFormat="1" ht="15.75" x14ac:dyDescent="0.25">
      <c r="A123" s="210"/>
      <c r="B123" s="210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7"/>
      <c r="Y123" s="205"/>
      <c r="Z123" s="207"/>
      <c r="AA123" s="203"/>
      <c r="AB123" s="28"/>
      <c r="AC123" s="28"/>
    </row>
    <row r="124" spans="1:29" s="3" customFormat="1" ht="15.75" x14ac:dyDescent="0.25">
      <c r="A124" s="210"/>
      <c r="B124" s="210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7"/>
      <c r="Y124" s="205"/>
      <c r="Z124" s="207"/>
      <c r="AA124" s="203"/>
      <c r="AB124" s="28"/>
      <c r="AC124" s="28"/>
    </row>
    <row r="125" spans="1:29" s="3" customFormat="1" ht="15.75" x14ac:dyDescent="0.25">
      <c r="A125" s="210"/>
      <c r="B125" s="210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7"/>
      <c r="Y125" s="205"/>
      <c r="Z125" s="207"/>
      <c r="AA125" s="203"/>
      <c r="AB125" s="28"/>
      <c r="AC125" s="28"/>
    </row>
    <row r="126" spans="1:29" s="3" customFormat="1" ht="15.75" x14ac:dyDescent="0.25">
      <c r="A126" s="210"/>
      <c r="B126" s="210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7"/>
      <c r="Y126" s="205"/>
      <c r="Z126" s="207"/>
      <c r="AA126" s="203"/>
      <c r="AB126" s="28"/>
      <c r="AC126" s="28"/>
    </row>
    <row r="127" spans="1:29" s="3" customFormat="1" ht="15.75" x14ac:dyDescent="0.25">
      <c r="A127" s="210"/>
      <c r="B127" s="210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7"/>
      <c r="Y127" s="205"/>
      <c r="Z127" s="207"/>
      <c r="AA127" s="203"/>
      <c r="AB127" s="28"/>
      <c r="AC127" s="28"/>
    </row>
    <row r="128" spans="1:29" s="3" customFormat="1" ht="15.75" x14ac:dyDescent="0.25">
      <c r="A128" s="210"/>
      <c r="B128" s="210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7"/>
      <c r="Y128" s="205"/>
      <c r="Z128" s="207"/>
      <c r="AA128" s="203"/>
      <c r="AB128" s="28"/>
      <c r="AC128" s="28"/>
    </row>
    <row r="129" spans="1:29" s="3" customFormat="1" ht="15.75" x14ac:dyDescent="0.25">
      <c r="A129" s="210"/>
      <c r="B129" s="210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7"/>
      <c r="Y129" s="205"/>
      <c r="Z129" s="207"/>
      <c r="AA129" s="203"/>
      <c r="AB129" s="28"/>
      <c r="AC129" s="28"/>
    </row>
    <row r="130" spans="1:29" s="3" customFormat="1" ht="15.75" x14ac:dyDescent="0.25">
      <c r="A130" s="210"/>
      <c r="B130" s="210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7"/>
      <c r="Y130" s="205"/>
      <c r="Z130" s="207"/>
      <c r="AA130" s="203"/>
      <c r="AB130" s="28"/>
      <c r="AC130" s="28"/>
    </row>
    <row r="131" spans="1:29" s="3" customFormat="1" ht="15.75" x14ac:dyDescent="0.25">
      <c r="A131" s="210"/>
      <c r="B131" s="210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7"/>
      <c r="Y131" s="205"/>
      <c r="Z131" s="207"/>
      <c r="AA131" s="203"/>
      <c r="AB131" s="28"/>
      <c r="AC131" s="28"/>
    </row>
    <row r="132" spans="1:29" s="3" customFormat="1" ht="15.75" x14ac:dyDescent="0.25">
      <c r="A132" s="210"/>
      <c r="B132" s="210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7"/>
      <c r="Y132" s="205"/>
      <c r="Z132" s="207"/>
      <c r="AA132" s="203"/>
      <c r="AB132" s="28"/>
      <c r="AC132" s="28"/>
    </row>
    <row r="133" spans="1:29" s="3" customFormat="1" ht="15.75" x14ac:dyDescent="0.25">
      <c r="A133" s="210"/>
      <c r="B133" s="210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7"/>
      <c r="Y133" s="205"/>
      <c r="Z133" s="207"/>
      <c r="AA133" s="203"/>
      <c r="AB133" s="28"/>
      <c r="AC133" s="28"/>
    </row>
    <row r="134" spans="1:29" s="3" customFormat="1" ht="15.75" x14ac:dyDescent="0.25">
      <c r="A134" s="210"/>
      <c r="B134" s="210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7"/>
      <c r="Y134" s="205"/>
      <c r="Z134" s="207"/>
      <c r="AA134" s="203"/>
      <c r="AB134" s="28"/>
      <c r="AC134" s="28"/>
    </row>
    <row r="135" spans="1:29" s="3" customFormat="1" ht="15.75" x14ac:dyDescent="0.25">
      <c r="A135" s="210"/>
      <c r="B135" s="210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7"/>
      <c r="Y135" s="205"/>
      <c r="Z135" s="207"/>
      <c r="AA135" s="203"/>
      <c r="AB135" s="28"/>
      <c r="AC135" s="28"/>
    </row>
    <row r="136" spans="1:29" s="3" customFormat="1" ht="15.75" x14ac:dyDescent="0.25">
      <c r="A136" s="210"/>
      <c r="B136" s="210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7"/>
      <c r="Y136" s="205"/>
      <c r="Z136" s="207"/>
      <c r="AA136" s="203"/>
      <c r="AB136" s="28"/>
      <c r="AC136" s="28"/>
    </row>
    <row r="137" spans="1:29" s="3" customFormat="1" ht="15.75" x14ac:dyDescent="0.25">
      <c r="A137" s="210"/>
      <c r="B137" s="210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7"/>
      <c r="Y137" s="205"/>
      <c r="Z137" s="207"/>
      <c r="AA137" s="203"/>
      <c r="AB137" s="28"/>
      <c r="AC137" s="28"/>
    </row>
    <row r="138" spans="1:29" s="3" customFormat="1" ht="15.75" x14ac:dyDescent="0.25">
      <c r="A138" s="210"/>
      <c r="B138" s="210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7"/>
      <c r="Y138" s="205"/>
      <c r="Z138" s="207"/>
      <c r="AA138" s="203"/>
      <c r="AB138" s="28"/>
      <c r="AC138" s="28"/>
    </row>
    <row r="139" spans="1:29" s="3" customFormat="1" ht="15.75" x14ac:dyDescent="0.25">
      <c r="A139" s="210"/>
      <c r="B139" s="210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7"/>
      <c r="Y139" s="205"/>
      <c r="Z139" s="207"/>
      <c r="AA139" s="203"/>
      <c r="AB139" s="28"/>
      <c r="AC139" s="28"/>
    </row>
    <row r="140" spans="1:29" s="3" customFormat="1" ht="15.75" x14ac:dyDescent="0.25">
      <c r="A140" s="210"/>
      <c r="B140" s="210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7"/>
      <c r="Y140" s="205"/>
      <c r="Z140" s="207"/>
      <c r="AA140" s="203"/>
      <c r="AB140" s="28"/>
      <c r="AC140" s="28"/>
    </row>
    <row r="141" spans="1:29" s="3" customFormat="1" ht="15.75" x14ac:dyDescent="0.25">
      <c r="A141" s="210"/>
      <c r="B141" s="210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7"/>
      <c r="Y141" s="205"/>
      <c r="Z141" s="207"/>
      <c r="AA141" s="203"/>
      <c r="AB141" s="28"/>
      <c r="AC141" s="28"/>
    </row>
    <row r="142" spans="1:29" s="3" customFormat="1" ht="15.75" x14ac:dyDescent="0.25">
      <c r="A142" s="210"/>
      <c r="B142" s="210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7"/>
      <c r="Y142" s="205"/>
      <c r="Z142" s="207"/>
      <c r="AA142" s="203"/>
      <c r="AB142" s="28"/>
      <c r="AC142" s="28"/>
    </row>
    <row r="143" spans="1:29" s="3" customFormat="1" ht="15.75" x14ac:dyDescent="0.25">
      <c r="A143" s="210"/>
      <c r="B143" s="210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7"/>
      <c r="Y143" s="205"/>
      <c r="Z143" s="207"/>
      <c r="AA143" s="203"/>
      <c r="AB143" s="28"/>
      <c r="AC143" s="28"/>
    </row>
    <row r="144" spans="1:29" s="3" customFormat="1" ht="15.75" x14ac:dyDescent="0.25">
      <c r="A144" s="210"/>
      <c r="B144" s="210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7"/>
      <c r="Y144" s="205"/>
      <c r="Z144" s="207"/>
      <c r="AA144" s="203"/>
      <c r="AB144" s="28"/>
      <c r="AC144" s="28"/>
    </row>
    <row r="145" spans="1:29" s="3" customFormat="1" ht="15.75" x14ac:dyDescent="0.25">
      <c r="A145" s="210"/>
      <c r="B145" s="210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7"/>
      <c r="Y145" s="205"/>
      <c r="Z145" s="207"/>
      <c r="AA145" s="203"/>
      <c r="AB145" s="28"/>
      <c r="AC145" s="28"/>
    </row>
    <row r="146" spans="1:29" s="3" customFormat="1" ht="15.75" x14ac:dyDescent="0.25">
      <c r="A146" s="210"/>
      <c r="B146" s="210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7"/>
      <c r="Y146" s="205"/>
      <c r="Z146" s="207"/>
      <c r="AA146" s="203"/>
      <c r="AB146" s="28"/>
      <c r="AC146" s="28"/>
    </row>
    <row r="147" spans="1:29" s="3" customFormat="1" ht="15.75" x14ac:dyDescent="0.25">
      <c r="A147" s="210"/>
      <c r="B147" s="210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7"/>
      <c r="Y147" s="205"/>
      <c r="Z147" s="207"/>
      <c r="AA147" s="203"/>
      <c r="AB147" s="28"/>
      <c r="AC147" s="28"/>
    </row>
    <row r="148" spans="1:29" s="3" customFormat="1" ht="15.75" x14ac:dyDescent="0.25">
      <c r="A148" s="210"/>
      <c r="B148" s="210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7"/>
      <c r="Y148" s="205"/>
      <c r="Z148" s="207"/>
      <c r="AA148" s="203"/>
      <c r="AB148" s="28"/>
      <c r="AC148" s="28"/>
    </row>
    <row r="149" spans="1:29" s="3" customFormat="1" ht="15.75" x14ac:dyDescent="0.25">
      <c r="A149" s="210"/>
      <c r="B149" s="210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7"/>
      <c r="Y149" s="205"/>
      <c r="Z149" s="207"/>
      <c r="AA149" s="203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E44:N44"/>
    <mergeCell ref="E45:N45"/>
    <mergeCell ref="E46:N46"/>
    <mergeCell ref="E47:N47"/>
    <mergeCell ref="E40:N40"/>
    <mergeCell ref="S40:U41"/>
    <mergeCell ref="E41:N41"/>
    <mergeCell ref="E42:N42"/>
    <mergeCell ref="S42:U42"/>
    <mergeCell ref="E43:N43"/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</mergeCells>
  <conditionalFormatting sqref="A2:Z32">
    <cfRule type="expression" dxfId="37" priority="21">
      <formula>$B2=FERIADO</formula>
    </cfRule>
    <cfRule type="expression" dxfId="36" priority="22">
      <formula>$B2=DISPENSADO</formula>
    </cfRule>
    <cfRule type="expression" dxfId="35" priority="23">
      <formula>$B2=FERIAS</formula>
    </cfRule>
    <cfRule type="expression" dxfId="34" priority="24">
      <formula>$B2=MEIO_COMPENSADO</formula>
    </cfRule>
    <cfRule type="expression" dxfId="33" priority="25">
      <formula>$B2=COMPENSADO</formula>
    </cfRule>
    <cfRule type="expression" dxfId="32" priority="26">
      <formula>$B2=EXPEDIENTE_CORRIDO</formula>
    </cfRule>
    <cfRule type="expression" dxfId="31" priority="27">
      <formula>$B2="FIM DE SEMANA"</formula>
    </cfRule>
    <cfRule type="expression" dxfId="30" priority="28">
      <formula>AND($B2="",ISBLANK($B3))</formula>
    </cfRule>
    <cfRule type="expression" dxfId="29" priority="29">
      <formula>AND($B2="",NOT(ISBLANK($B3)))</formula>
    </cfRule>
  </conditionalFormatting>
  <conditionalFormatting sqref="D2:G32 P2:X32">
    <cfRule type="cellIs" dxfId="28" priority="6" stopIfTrue="1" operator="lessThan">
      <formula>0</formula>
    </cfRule>
  </conditionalFormatting>
  <conditionalFormatting sqref="D2:G32">
    <cfRule type="expression" dxfId="27" priority="3" stopIfTrue="1">
      <formula>AND(NOT(ISBLANK(C2)),_xlfn.SINGLE($B:$B)=FERIAS)</formula>
    </cfRule>
    <cfRule type="notContainsBlanks" dxfId="26" priority="8">
      <formula>LEN(TRIM(D2))&gt;0</formula>
    </cfRule>
  </conditionalFormatting>
  <conditionalFormatting sqref="E2:F32">
    <cfRule type="expression" dxfId="25" priority="4" stopIfTrue="1">
      <formula>AND(AND(NOT(ISBLANK($E2)),NOT(ISBLANK($F2))),OR(_xlfn.SINGLE($B:$B)=FERIADO,_xlfn.SINGLE($B:$B)="FIM DE SEMANA"),($F2-$E2)&lt;TRUNC("1:00",6))</formula>
    </cfRule>
  </conditionalFormatting>
  <conditionalFormatting sqref="H2:K32">
    <cfRule type="expression" dxfId="24" priority="7" stopIfTrue="1">
      <formula>H2&lt;&gt;D2</formula>
    </cfRule>
  </conditionalFormatting>
  <conditionalFormatting sqref="L2:L32">
    <cfRule type="expression" dxfId="23" priority="15">
      <formula>OR(AND($L2=TIMEVALUE("8:00"),OR($B2="DIA ÚTIL",$B2=MEIO_COMPENSADO,$B2=COMPENSADO)),AND($L2&gt;=TIMEVALUE("6:00"),$L2&lt;=TIMEVALUE("8:00"),$B2=EXPEDIENTE_CORRIDO))</formula>
    </cfRule>
    <cfRule type="expression" dxfId="22" priority="16">
      <formula>OR($L2&gt;TIMEVALUE("8:00"),AND($L2&gt;TIMEVALUE("0:00"),OR($B2=FERIADO,$B2="FIM DE SEMANA",$B2=DISPENSADO)))</formula>
    </cfRule>
    <cfRule type="expression" dxfId="21" priority="17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0" priority="30">
      <formula>AND(L2=0,$B2=FERIADO)</formula>
    </cfRule>
    <cfRule type="expression" dxfId="19" priority="31">
      <formula>AND(L2=0,$B2=DISPENSADO)</formula>
    </cfRule>
    <cfRule type="expression" dxfId="18" priority="32">
      <formula>AND(L2=0,$B2=FERIAS)</formula>
    </cfRule>
    <cfRule type="expression" dxfId="17" priority="33">
      <formula>AND(L2=0,$B2=MEIO_COMPENSADO)</formula>
    </cfRule>
    <cfRule type="expression" dxfId="16" priority="34">
      <formula>AND(L2=0,$B2=COMPENSADO)</formula>
    </cfRule>
    <cfRule type="expression" dxfId="15" priority="35">
      <formula>AND(L2=0,$B2=EXPEDIENTE_CORRIDO)</formula>
    </cfRule>
    <cfRule type="expression" dxfId="14" priority="36">
      <formula>AND(L2=0,$B2="FIM DE SEMANA")</formula>
    </cfRule>
    <cfRule type="expression" dxfId="13" priority="37">
      <formula>AND(L2=0,$B2="DIA ÚTIL")</formula>
    </cfRule>
    <cfRule type="expression" dxfId="12" priority="38">
      <formula>$B2=""</formula>
    </cfRule>
  </conditionalFormatting>
  <conditionalFormatting sqref="M2:O32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O2:O32">
    <cfRule type="expression" dxfId="9" priority="5" stopIfTrue="1">
      <formula>IF(OR(TIPO_DE_PONTO="Comercial",$A2="Sexta"),$O2&gt;=TIMEVALUE("0:31"),$O2&gt;=TIMEVALUE("1:01"))</formula>
    </cfRule>
  </conditionalFormatting>
  <conditionalFormatting sqref="P2:P33">
    <cfRule type="cellIs" dxfId="8" priority="11" operator="greaterThan">
      <formula>0</formula>
    </cfRule>
  </conditionalFormatting>
  <conditionalFormatting sqref="Q36 W37">
    <cfRule type="cellIs" dxfId="7" priority="19" operator="greaterThanOrEqual">
      <formula>0</formula>
    </cfRule>
    <cfRule type="cellIs" dxfId="6" priority="20" operator="lessThan">
      <formula>0</formula>
    </cfRule>
  </conditionalFormatting>
  <conditionalFormatting sqref="Q2:S33">
    <cfRule type="cellIs" dxfId="5" priority="12" operator="greaterThan">
      <formula>0</formula>
    </cfRule>
  </conditionalFormatting>
  <conditionalFormatting sqref="S40">
    <cfRule type="cellIs" dxfId="4" priority="1" operator="lessThan">
      <formula>0</formula>
    </cfRule>
    <cfRule type="cellIs" dxfId="3" priority="2" operator="greaterThan">
      <formula>0</formula>
    </cfRule>
  </conditionalFormatting>
  <conditionalFormatting sqref="T2:T33">
    <cfRule type="cellIs" dxfId="2" priority="13" operator="greaterThan">
      <formula>0</formula>
    </cfRule>
  </conditionalFormatting>
  <conditionalFormatting sqref="U2:X32 U33 W33:X33">
    <cfRule type="cellIs" dxfId="1" priority="14" operator="greaterThan">
      <formula>0</formula>
    </cfRule>
  </conditionalFormatting>
  <conditionalFormatting sqref="V33">
    <cfRule type="cellIs" dxfId="0" priority="18" operator="greaterThan">
      <formula>0</formula>
    </cfRule>
  </conditionalFormatting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9E1F6423998745BEA293CEBAF04549" ma:contentTypeVersion="15" ma:contentTypeDescription="Crie um novo documento." ma:contentTypeScope="" ma:versionID="8a4ed3230a052dff9bae9cb7bb15e972">
  <xsd:schema xmlns:xsd="http://www.w3.org/2001/XMLSchema" xmlns:xs="http://www.w3.org/2001/XMLSchema" xmlns:p="http://schemas.microsoft.com/office/2006/metadata/properties" xmlns:ns3="54938b94-8651-4235-b22e-b4a23df5be80" xmlns:ns4="8d1825b8-8c6e-4eaa-a3c6-db345a0481da" targetNamespace="http://schemas.microsoft.com/office/2006/metadata/properties" ma:root="true" ma:fieldsID="d2f8d6f7fd9cef42ac7ccea83e4119db" ns3:_="" ns4:_="">
    <xsd:import namespace="54938b94-8651-4235-b22e-b4a23df5be80"/>
    <xsd:import namespace="8d1825b8-8c6e-4eaa-a3c6-db345a0481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938b94-8651-4235-b22e-b4a23df5be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1825b8-8c6e-4eaa-a3c6-db345a0481da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938b94-8651-4235-b22e-b4a23df5be80" xsi:nil="true"/>
  </documentManagement>
</p:properties>
</file>

<file path=customXml/itemProps1.xml><?xml version="1.0" encoding="utf-8"?>
<ds:datastoreItem xmlns:ds="http://schemas.openxmlformats.org/officeDocument/2006/customXml" ds:itemID="{4753086A-5E2F-41CD-9B00-7271DDF22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38b94-8651-4235-b22e-b4a23df5be80"/>
    <ds:schemaRef ds:uri="8d1825b8-8c6e-4eaa-a3c6-db345a0481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424BA0-E1A2-4FD6-B16C-A03DE8B6C6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6A6C77-0A58-4046-8886-BBCFEE49302F}">
  <ds:schemaRefs>
    <ds:schemaRef ds:uri="http://purl.org/dc/elements/1.1/"/>
    <ds:schemaRef ds:uri="http://purl.org/dc/terms/"/>
    <ds:schemaRef ds:uri="54938b94-8651-4235-b22e-b4a23df5be80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8d1825b8-8c6e-4eaa-a3c6-db345a0481d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11</vt:i4>
      </vt:variant>
    </vt:vector>
  </HeadingPairs>
  <TitlesOfParts>
    <vt:vector size="25" baseType="lpstr">
      <vt:lpstr>DADOS</vt:lpstr>
      <vt:lpstr>EXEMPLO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ANO</vt:lpstr>
      <vt:lpstr>Calendario_expandido</vt:lpstr>
      <vt:lpstr>COMPENSADO</vt:lpstr>
      <vt:lpstr>CRE_2</vt:lpstr>
      <vt:lpstr>DISPENSADO</vt:lpstr>
      <vt:lpstr>EXPEDIENTE_CORRIDO</vt:lpstr>
      <vt:lpstr>FERIADO</vt:lpstr>
      <vt:lpstr>FERIAS</vt:lpstr>
      <vt:lpstr>DADOS!Lista_tipo</vt:lpstr>
      <vt:lpstr>MEIO_COMPENSADO</vt:lpstr>
      <vt:lpstr>TIPO_DE_PONTO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leoneac@eletronuclear.gov.br</dc:creator>
  <cp:keywords/>
  <dc:description/>
  <cp:lastModifiedBy>Leone Andrade Campos</cp:lastModifiedBy>
  <cp:revision/>
  <dcterms:created xsi:type="dcterms:W3CDTF">2019-01-03T13:05:50Z</dcterms:created>
  <dcterms:modified xsi:type="dcterms:W3CDTF">2025-01-02T18:35:28Z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d11e7a-42f1-426f-87de-cb83ce0725cd_Enabled">
    <vt:lpwstr>true</vt:lpwstr>
  </property>
  <property fmtid="{D5CDD505-2E9C-101B-9397-08002B2CF9AE}" pid="3" name="MSIP_Label_23d11e7a-42f1-426f-87de-cb83ce0725cd_SetDate">
    <vt:lpwstr>2023-12-19T11:16:35Z</vt:lpwstr>
  </property>
  <property fmtid="{D5CDD505-2E9C-101B-9397-08002B2CF9AE}" pid="4" name="MSIP_Label_23d11e7a-42f1-426f-87de-cb83ce0725cd_Method">
    <vt:lpwstr>Privileged</vt:lpwstr>
  </property>
  <property fmtid="{D5CDD505-2E9C-101B-9397-08002B2CF9AE}" pid="5" name="MSIP_Label_23d11e7a-42f1-426f-87de-cb83ce0725cd_Name">
    <vt:lpwstr>Publico</vt:lpwstr>
  </property>
  <property fmtid="{D5CDD505-2E9C-101B-9397-08002B2CF9AE}" pid="6" name="MSIP_Label_23d11e7a-42f1-426f-87de-cb83ce0725cd_SiteId">
    <vt:lpwstr>0ad73864-486f-4f58-a5da-a44c51bf5c9b</vt:lpwstr>
  </property>
  <property fmtid="{D5CDD505-2E9C-101B-9397-08002B2CF9AE}" pid="7" name="MSIP_Label_23d11e7a-42f1-426f-87de-cb83ce0725cd_ActionId">
    <vt:lpwstr>a5f25e33-0651-4bd1-ba55-bce291a8e576</vt:lpwstr>
  </property>
  <property fmtid="{D5CDD505-2E9C-101B-9397-08002B2CF9AE}" pid="8" name="MSIP_Label_23d11e7a-42f1-426f-87de-cb83ce0725cd_ContentBits">
    <vt:lpwstr>2</vt:lpwstr>
  </property>
  <property fmtid="{D5CDD505-2E9C-101B-9397-08002B2CF9AE}" pid="9" name="ContentTypeId">
    <vt:lpwstr>0x0101004D9E1F6423998745BEA293CEBAF04549</vt:lpwstr>
  </property>
</Properties>
</file>